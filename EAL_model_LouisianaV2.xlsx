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3" autoFilterDateGrouping="1"/>
  </bookViews>
  <sheets>
    <sheet xmlns:r="http://schemas.openxmlformats.org/officeDocument/2006/relationships" name="NRI_Louisiana" sheetId="1" state="visible" r:id="rId1"/>
    <sheet xmlns:r="http://schemas.openxmlformats.org/officeDocument/2006/relationships" name="Inputs" sheetId="2" state="visible" r:id="rId2"/>
    <sheet xmlns:r="http://schemas.openxmlformats.org/officeDocument/2006/relationships" name="EAL Calculation" sheetId="3" state="visible" r:id="rId3"/>
    <sheet xmlns:r="http://schemas.openxmlformats.org/officeDocument/2006/relationships" name="Monte Carlo" sheetId="4" state="visible" r:id="rId4"/>
    <sheet xmlns:r="http://schemas.openxmlformats.org/officeDocument/2006/relationships" name="Resilience ROI" sheetId="5" state="visible" r:id="rId5"/>
    <sheet xmlns:r="http://schemas.openxmlformats.org/officeDocument/2006/relationships" name="Depth-Damage" sheetId="6" state="visible" r:id="rId6"/>
    <sheet xmlns:r="http://schemas.openxmlformats.org/officeDocument/2006/relationships" name="LA_Gas_Plants" sheetId="7" state="visible" r:id="rId7"/>
  </sheets>
  <definedNames/>
  <calcPr calcId="191029" fullCalcOnLoad="1"/>
</workbook>
</file>

<file path=xl/styles.xml><?xml version="1.0" encoding="utf-8"?>
<styleSheet xmlns="http://schemas.openxmlformats.org/spreadsheetml/2006/main">
  <numFmts count="13">
    <numFmt numFmtId="164" formatCode="00000"/>
    <numFmt numFmtId="165" formatCode="0.000000"/>
    <numFmt numFmtId="166" formatCode="#,##0.0"/>
    <numFmt numFmtId="167" formatCode="#,##0.000"/>
    <numFmt numFmtId="168" formatCode="&quot;$&quot;#,##0"/>
    <numFmt numFmtId="169" formatCode="0.0"/>
    <numFmt numFmtId="170" formatCode="0.0000%"/>
    <numFmt numFmtId="171" formatCode="0.0%"/>
    <numFmt numFmtId="172" formatCode="0.000"/>
    <numFmt numFmtId="173" formatCode="0.00&quot;x&quot;"/>
    <numFmt numFmtId="174" formatCode="0.000%"/>
    <numFmt numFmtId="175" formatCode="0.0000"/>
    <numFmt numFmtId="176" formatCode="0.0&quot;x&quot;"/>
  </numFmts>
  <fonts count="38">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b val="1"/>
      <color indexed="30"/>
      <sz val="12"/>
    </font>
    <font>
      <name val="Arial"/>
      <family val="2"/>
      <b val="1"/>
      <color indexed="8"/>
      <sz val="10"/>
    </font>
    <font>
      <name val="Arial"/>
      <family val="2"/>
      <color indexed="8"/>
      <sz val="10"/>
    </font>
    <font>
      <name val="Aptos Narrow"/>
      <family val="2"/>
      <b val="1"/>
      <color rgb="FFFFFFFF"/>
      <sz val="12"/>
      <scheme val="minor"/>
    </font>
    <font>
      <name val="Tahoma"/>
      <family val="2"/>
      <sz val="10"/>
    </font>
    <font>
      <name val="Aptos Narrow"/>
      <family val="2"/>
      <b val="1"/>
      <color rgb="FF1F4E78"/>
      <sz val="16"/>
      <scheme val="minor"/>
    </font>
    <font>
      <name val="Aptos Narrow"/>
      <family val="2"/>
      <i val="1"/>
      <color rgb="FF595959"/>
      <sz val="12"/>
      <scheme val="minor"/>
    </font>
    <font>
      <name val="Aptos Narrow"/>
      <family val="2"/>
      <color rgb="FFFFFFFF"/>
      <sz val="12"/>
      <scheme val="minor"/>
    </font>
    <font>
      <name val="Aptos Narrow"/>
      <family val="2"/>
      <color rgb="FF0000FF"/>
      <sz val="12"/>
      <scheme val="minor"/>
    </font>
    <font>
      <name val="Aptos Narrow"/>
      <family val="2"/>
      <color rgb="FF008000"/>
      <sz val="12"/>
      <scheme val="minor"/>
    </font>
    <font>
      <name val="Aptos Narrow"/>
      <family val="2"/>
      <color rgb="FF000000"/>
      <sz val="12"/>
      <scheme val="minor"/>
    </font>
    <font>
      <name val="Aptos Narrow"/>
      <family val="2"/>
      <b val="1"/>
      <color rgb="FF000000"/>
      <sz val="12"/>
      <scheme val="minor"/>
    </font>
    <font>
      <name val="Aptos Narrow"/>
      <family val="2"/>
      <i val="1"/>
      <color rgb="FF7F7F7F"/>
      <sz val="9"/>
      <scheme val="minor"/>
    </font>
    <font>
      <name val="Aptos Narrow (Body)"/>
      <b val="1"/>
      <color theme="1"/>
      <sz val="16"/>
    </font>
    <font>
      <name val="Aptos"/>
      <color theme="1"/>
      <sz val="12"/>
    </font>
    <font>
      <name val="Aptos Narrow"/>
      <b val="1"/>
      <color rgb="FF000C34"/>
      <sz val="12"/>
      <scheme val="minor"/>
    </font>
    <font>
      <name val="Aptos Display"/>
      <color rgb="FF000C34"/>
      <sz val="12"/>
      <scheme val="major"/>
    </font>
    <font>
      <name val="Aptos Narrow"/>
      <color rgb="FF000C34"/>
      <sz val="12"/>
      <scheme val="minor"/>
    </font>
    <font>
      <name val="Aptos Display"/>
      <color theme="0"/>
      <sz val="12"/>
      <scheme val="major"/>
    </font>
    <font>
      <name val="Aptos Display"/>
      <b val="1"/>
      <color rgb="FF1F4E78"/>
      <sz val="12"/>
      <scheme val="major"/>
    </font>
  </fonts>
  <fills count="42">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FFCFEAF7"/>
        <bgColor indexed="64"/>
      </patternFill>
    </fill>
    <fill>
      <patternFill patternType="solid">
        <fgColor indexed="65"/>
        <bgColor indexed="64"/>
      </patternFill>
    </fill>
    <fill>
      <patternFill patternType="solid">
        <fgColor rgb="FF1F4E78"/>
        <bgColor indexed="64"/>
      </patternFill>
    </fill>
    <fill>
      <patternFill patternType="solid">
        <fgColor rgb="FFFFF2CC"/>
        <bgColor indexed="64"/>
      </patternFill>
    </fill>
    <fill>
      <patternFill patternType="solid">
        <fgColor theme="3"/>
        <bgColor indexed="64"/>
      </patternFill>
    </fill>
    <fill>
      <patternFill patternType="solid">
        <fgColor rgb="FFD9E1F2"/>
        <bgColor indexed="64"/>
      </patternFill>
    </fill>
    <fill>
      <patternFill patternType="solid">
        <fgColor rgb="FFE2EFDA"/>
        <bgColor indexed="64"/>
      </patternFill>
    </fill>
    <fill>
      <patternFill patternType="solid">
        <fgColor rgb="FFFCE4D6"/>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07">
    <xf numFmtId="0" fontId="0" fillId="0" borderId="0" pivotButton="0" quotePrefix="0" xfId="0"/>
    <xf numFmtId="17" fontId="0" fillId="0" borderId="0" pivotButton="0" quotePrefix="0" xfId="0"/>
    <xf numFmtId="0" fontId="18" fillId="33" borderId="0" applyAlignment="1" pivotButton="0" quotePrefix="0" xfId="0">
      <alignment horizontal="left"/>
    </xf>
    <xf numFmtId="0" fontId="19" fillId="34" borderId="10" applyAlignment="1" pivotButton="0" quotePrefix="0" xfId="0">
      <alignment horizontal="center" wrapText="1"/>
    </xf>
    <xf numFmtId="0" fontId="19" fillId="34" borderId="10" applyAlignment="1" pivotButton="0" quotePrefix="0" xfId="0">
      <alignment horizontal="left" wrapText="1"/>
    </xf>
    <xf numFmtId="2" fontId="19" fillId="34" borderId="10" applyAlignment="1" pivotButton="0" quotePrefix="0" xfId="0">
      <alignment horizontal="right" wrapText="1"/>
    </xf>
    <xf numFmtId="0" fontId="0" fillId="35" borderId="0" pivotButton="0" quotePrefix="0" xfId="0"/>
    <xf numFmtId="0" fontId="20" fillId="0" borderId="10" applyAlignment="1" pivotButton="0" quotePrefix="0" xfId="0">
      <alignment horizontal="center" wrapText="1"/>
    </xf>
    <xf numFmtId="0" fontId="20" fillId="0" borderId="10" applyAlignment="1" pivotButton="0" quotePrefix="0" xfId="0">
      <alignment horizontal="left" wrapText="1"/>
    </xf>
    <xf numFmtId="2" fontId="20" fillId="0" borderId="10" applyAlignment="1" pivotButton="0" quotePrefix="0" xfId="0">
      <alignment horizontal="right" wrapText="1"/>
    </xf>
    <xf numFmtId="0" fontId="20" fillId="0" borderId="10" applyAlignment="1" pivotButton="0" quotePrefix="0" xfId="0">
      <alignment horizontal="right" wrapText="1"/>
    </xf>
    <xf numFmtId="10" fontId="0" fillId="0" borderId="0" pivotButton="0" quotePrefix="0" xfId="0"/>
    <xf numFmtId="1" fontId="19" fillId="34" borderId="10" applyAlignment="1" pivotButton="0" quotePrefix="0" xfId="0">
      <alignment horizontal="right" wrapText="1"/>
    </xf>
    <xf numFmtId="164" fontId="19" fillId="34" borderId="10" applyAlignment="1" pivotButton="0" quotePrefix="0" xfId="0">
      <alignment horizontal="center" wrapText="1"/>
    </xf>
    <xf numFmtId="165" fontId="19" fillId="34" borderId="10" applyAlignment="1" pivotButton="0" quotePrefix="0" xfId="0">
      <alignment horizontal="right" wrapText="1"/>
    </xf>
    <xf numFmtId="0" fontId="19" fillId="34" borderId="10" applyAlignment="1" pivotButton="0" quotePrefix="0" xfId="0">
      <alignment horizontal="right" wrapText="1"/>
    </xf>
    <xf numFmtId="1" fontId="20" fillId="0" borderId="10" applyAlignment="1" pivotButton="0" quotePrefix="0" xfId="0">
      <alignment horizontal="right" wrapText="1"/>
    </xf>
    <xf numFmtId="164" fontId="20" fillId="0" borderId="10" applyAlignment="1" pivotButton="0" quotePrefix="0" xfId="0">
      <alignment horizontal="center" wrapText="1"/>
    </xf>
    <xf numFmtId="165" fontId="20" fillId="0" borderId="10" applyAlignment="1" pivotButton="0" quotePrefix="0" xfId="0">
      <alignment horizontal="right" wrapText="1"/>
    </xf>
    <xf numFmtId="164" fontId="20" fillId="0" borderId="10" applyAlignment="1" pivotButton="0" quotePrefix="0" xfId="0">
      <alignment horizontal="right" wrapText="1"/>
    </xf>
    <xf numFmtId="0" fontId="16" fillId="0" borderId="0" pivotButton="0" quotePrefix="0" xfId="0"/>
    <xf numFmtId="0" fontId="21" fillId="36" borderId="0" pivotButton="0" quotePrefix="0" xfId="0"/>
    <xf numFmtId="166" fontId="0" fillId="0" borderId="0" pivotButton="0" quotePrefix="0" xfId="0"/>
    <xf numFmtId="1" fontId="0" fillId="0" borderId="0" pivotButton="0" quotePrefix="0" xfId="0"/>
    <xf numFmtId="49" fontId="19" fillId="34" borderId="10" applyAlignment="1" pivotButton="0" quotePrefix="0" xfId="0">
      <alignment horizontal="center" wrapText="1"/>
    </xf>
    <xf numFmtId="166" fontId="19" fillId="34" borderId="10" applyAlignment="1" pivotButton="0" quotePrefix="0" xfId="0">
      <alignment horizontal="right" wrapText="1"/>
    </xf>
    <xf numFmtId="167" fontId="19" fillId="34" borderId="10" applyAlignment="1" pivotButton="0" quotePrefix="0" xfId="0">
      <alignment horizontal="right" wrapText="1"/>
    </xf>
    <xf numFmtId="49" fontId="20" fillId="0" borderId="10" applyAlignment="1" pivotButton="0" quotePrefix="0" xfId="0">
      <alignment horizontal="center" wrapText="1"/>
    </xf>
    <xf numFmtId="166" fontId="20" fillId="0" borderId="10" applyAlignment="1" pivotButton="0" quotePrefix="0" xfId="0">
      <alignment horizontal="right" wrapText="1"/>
    </xf>
    <xf numFmtId="167" fontId="20" fillId="0" borderId="10" applyAlignment="1" pivotButton="0" quotePrefix="0" xfId="0">
      <alignment horizontal="right" wrapText="1"/>
    </xf>
    <xf numFmtId="0" fontId="22" fillId="33" borderId="0" applyAlignment="1" pivotButton="0" quotePrefix="0" xfId="0">
      <alignment horizontal="left"/>
    </xf>
    <xf numFmtId="0" fontId="23" fillId="0" borderId="0" pivotButton="0" quotePrefix="0" xfId="0"/>
    <xf numFmtId="0" fontId="24" fillId="0" borderId="0" pivotButton="0" quotePrefix="0" xfId="0"/>
    <xf numFmtId="0" fontId="25" fillId="36" borderId="0" pivotButton="0" quotePrefix="0" xfId="0"/>
    <xf numFmtId="0" fontId="26" fillId="0" borderId="0" pivotButton="0" quotePrefix="0" xfId="0"/>
    <xf numFmtId="0" fontId="27" fillId="0" borderId="0" pivotButton="0" quotePrefix="0" xfId="0"/>
    <xf numFmtId="0" fontId="28" fillId="0" borderId="0" pivotButton="0" quotePrefix="0" xfId="0"/>
    <xf numFmtId="0" fontId="26" fillId="37" borderId="0" pivotButton="0" quotePrefix="0" xfId="0"/>
    <xf numFmtId="168" fontId="26" fillId="37" borderId="0" pivotButton="0" quotePrefix="0" xfId="0"/>
    <xf numFmtId="168" fontId="29" fillId="0" borderId="0" pivotButton="0" quotePrefix="0" xfId="0"/>
    <xf numFmtId="0" fontId="26" fillId="37" borderId="13" pivotButton="0" quotePrefix="0" xfId="0"/>
    <xf numFmtId="1" fontId="27" fillId="0" borderId="13" pivotButton="0" quotePrefix="0" xfId="0"/>
    <xf numFmtId="0" fontId="27" fillId="0" borderId="13" pivotButton="0" quotePrefix="0" xfId="0"/>
    <xf numFmtId="166" fontId="27" fillId="0" borderId="12" pivotButton="0" quotePrefix="0" xfId="0"/>
    <xf numFmtId="168" fontId="26" fillId="37" borderId="13" pivotButton="0" quotePrefix="0" xfId="0"/>
    <xf numFmtId="168" fontId="29" fillId="0" borderId="12" pivotButton="0" quotePrefix="0" xfId="0"/>
    <xf numFmtId="0" fontId="16" fillId="0" borderId="0" pivotButton="0" quotePrefix="0" xfId="0"/>
    <xf numFmtId="0" fontId="30" fillId="0" borderId="0" pivotButton="0" quotePrefix="0" xfId="0"/>
    <xf numFmtId="49" fontId="30" fillId="0" borderId="0" pivotButton="0" quotePrefix="0" xfId="0"/>
    <xf numFmtId="0" fontId="31" fillId="0" borderId="0" pivotButton="0" quotePrefix="0" xfId="0"/>
    <xf numFmtId="0" fontId="32" fillId="0" borderId="0" pivotButton="0" quotePrefix="0" xfId="0"/>
    <xf numFmtId="0" fontId="34" fillId="0" borderId="0" pivotButton="0" quotePrefix="0" xfId="0"/>
    <xf numFmtId="0" fontId="36" fillId="38" borderId="0" applyAlignment="1" pivotButton="0" quotePrefix="0" xfId="0">
      <alignment horizontal="center"/>
    </xf>
    <xf numFmtId="0" fontId="37" fillId="38" borderId="0" applyAlignment="1" pivotButton="0" quotePrefix="0" xfId="0">
      <alignment horizontal="center"/>
    </xf>
    <xf numFmtId="0" fontId="33" fillId="39" borderId="12" pivotButton="0" quotePrefix="0" xfId="0"/>
    <xf numFmtId="0" fontId="35" fillId="0" borderId="12" pivotButton="0" quotePrefix="0" xfId="0"/>
    <xf numFmtId="169" fontId="35" fillId="0" borderId="12" pivotButton="0" quotePrefix="0" xfId="0"/>
    <xf numFmtId="168" fontId="0" fillId="0" borderId="0" pivotButton="0" quotePrefix="0" xfId="0"/>
    <xf numFmtId="168" fontId="27" fillId="0" borderId="0" pivotButton="0" quotePrefix="0" xfId="0"/>
    <xf numFmtId="168" fontId="28" fillId="0" borderId="0" pivotButton="0" quotePrefix="0" xfId="0"/>
    <xf numFmtId="170" fontId="28" fillId="0" borderId="0" pivotButton="0" quotePrefix="0" xfId="0"/>
    <xf numFmtId="0" fontId="16" fillId="39" borderId="0" pivotButton="0" quotePrefix="0" xfId="0"/>
    <xf numFmtId="0" fontId="16" fillId="39" borderId="0" applyAlignment="1" pivotButton="0" quotePrefix="0" xfId="0">
      <alignment wrapText="1"/>
    </xf>
    <xf numFmtId="168" fontId="16" fillId="0" borderId="11" pivotButton="0" quotePrefix="0" xfId="0"/>
    <xf numFmtId="171" fontId="0" fillId="0" borderId="0" pivotButton="0" quotePrefix="0" xfId="0"/>
    <xf numFmtId="169" fontId="0" fillId="0" borderId="0" pivotButton="0" quotePrefix="0" xfId="0"/>
    <xf numFmtId="169" fontId="26" fillId="37" borderId="0" pivotButton="0" quotePrefix="0" xfId="0"/>
    <xf numFmtId="172" fontId="0" fillId="0" borderId="0" pivotButton="0" quotePrefix="0" xfId="0"/>
    <xf numFmtId="173" fontId="0" fillId="0" borderId="0" pivotButton="0" quotePrefix="0" xfId="0"/>
    <xf numFmtId="174" fontId="0" fillId="0" borderId="0" pivotButton="0" quotePrefix="0" xfId="0"/>
    <xf numFmtId="168" fontId="16" fillId="40" borderId="0" pivotButton="0" quotePrefix="0" xfId="0"/>
    <xf numFmtId="0" fontId="30" fillId="0" borderId="0" applyAlignment="1" pivotButton="0" quotePrefix="0" xfId="0">
      <alignment wrapText="1"/>
    </xf>
    <xf numFmtId="2" fontId="26" fillId="37" borderId="0" pivotButton="0" quotePrefix="0" xfId="0"/>
    <xf numFmtId="9" fontId="26" fillId="37" borderId="0" pivotButton="0" quotePrefix="0" xfId="0"/>
    <xf numFmtId="3" fontId="26" fillId="37" borderId="0" pivotButton="0" quotePrefix="0" xfId="0"/>
    <xf numFmtId="175" fontId="28" fillId="0" borderId="0" pivotButton="0" quotePrefix="0" xfId="0"/>
    <xf numFmtId="171" fontId="26" fillId="37" borderId="0" pivotButton="0" quotePrefix="0" xfId="0"/>
    <xf numFmtId="1" fontId="26" fillId="37" borderId="0" pivotButton="0" quotePrefix="0" xfId="0"/>
    <xf numFmtId="173" fontId="16" fillId="40" borderId="0" pivotButton="0" quotePrefix="0" xfId="0"/>
    <xf numFmtId="0" fontId="0" fillId="40" borderId="0" pivotButton="0" quotePrefix="0" xfId="0"/>
    <xf numFmtId="2" fontId="0" fillId="0" borderId="0" pivotButton="0" quotePrefix="0" xfId="0"/>
    <xf numFmtId="168" fontId="16" fillId="41" borderId="0" pivotButton="0" quotePrefix="0" xfId="0"/>
    <xf numFmtId="176" fontId="16" fillId="41" borderId="0" pivotButton="0" quotePrefix="0" xfId="0"/>
    <xf numFmtId="166" fontId="27" fillId="0" borderId="12" pivotButton="0" quotePrefix="0" xfId="0"/>
    <xf numFmtId="168" fontId="26" fillId="37" borderId="13" pivotButton="0" quotePrefix="0" xfId="0"/>
    <xf numFmtId="168" fontId="29" fillId="0" borderId="12" pivotButton="0" quotePrefix="0" xfId="0"/>
    <xf numFmtId="168" fontId="27" fillId="0" borderId="0" pivotButton="0" quotePrefix="0" xfId="0"/>
    <xf numFmtId="168" fontId="28" fillId="0" borderId="0" pivotButton="0" quotePrefix="0" xfId="0"/>
    <xf numFmtId="170" fontId="28" fillId="0" borderId="0" pivotButton="0" quotePrefix="0" xfId="0"/>
    <xf numFmtId="168" fontId="29" fillId="0" borderId="0" pivotButton="0" quotePrefix="0" xfId="0"/>
    <xf numFmtId="171" fontId="0" fillId="0" borderId="0" pivotButton="0" quotePrefix="0" xfId="0"/>
    <xf numFmtId="169" fontId="26" fillId="37" borderId="0" pivotButton="0" quotePrefix="0" xfId="0"/>
    <xf numFmtId="168" fontId="0" fillId="0" borderId="0" pivotButton="0" quotePrefix="0" xfId="0"/>
    <xf numFmtId="168" fontId="16" fillId="0" borderId="11" pivotButton="0" quotePrefix="0" xfId="0"/>
    <xf numFmtId="172" fontId="0" fillId="0" borderId="0" pivotButton="0" quotePrefix="0" xfId="0"/>
    <xf numFmtId="173" fontId="0" fillId="0" borderId="0" pivotButton="0" quotePrefix="0" xfId="0"/>
    <xf numFmtId="168" fontId="16" fillId="40" borderId="0" pivotButton="0" quotePrefix="0" xfId="0"/>
    <xf numFmtId="174" fontId="0" fillId="0" borderId="0" pivotButton="0" quotePrefix="0" xfId="0"/>
    <xf numFmtId="175" fontId="28" fillId="0" borderId="0" pivotButton="0" quotePrefix="0" xfId="0"/>
    <xf numFmtId="168" fontId="26" fillId="37" borderId="0" pivotButton="0" quotePrefix="0" xfId="0"/>
    <xf numFmtId="171" fontId="26" fillId="37" borderId="0" pivotButton="0" quotePrefix="0" xfId="0"/>
    <xf numFmtId="168" fontId="16" fillId="41" borderId="0" pivotButton="0" quotePrefix="0" xfId="0"/>
    <xf numFmtId="176" fontId="16" fillId="41" borderId="0" pivotButton="0" quotePrefix="0" xfId="0"/>
    <xf numFmtId="169" fontId="0" fillId="0" borderId="0" pivotButton="0" quotePrefix="0" xfId="0"/>
    <xf numFmtId="173" fontId="16" fillId="40" borderId="0" pivotButton="0" quotePrefix="0" xfId="0"/>
    <xf numFmtId="169" fontId="35" fillId="0" borderId="12" pivotButton="0" quotePrefix="0" xfId="0"/>
    <xf numFmtId="166"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Simulated Annual Flood Loss Distribution (10,000 years)</a:t>
            </a:r>
          </a:p>
        </rich>
      </tx>
      <layout>
        <manualLayout>
          <xMode val="edge"/>
          <yMode val="edge"/>
          <wMode val="factor"/>
          <hMode val="factor"/>
          <x val="0.2572037552998183"/>
          <y val="0.0238095238095238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'Monte Carlo'!$K$6</f>
              <strCache>
                <ptCount val="1"/>
                <pt idx="0">
                  <v>Frequency</v>
                </pt>
              </strCache>
            </strRef>
          </tx>
          <spPr>
            <a:solidFill xmlns:a="http://schemas.openxmlformats.org/drawingml/2006/main">
              <a:schemeClr val="accent1"/>
            </a:solidFill>
            <a:ln xmlns:a="http://schemas.openxmlformats.org/drawingml/2006/main">
              <a:noFill/>
              <a:prstDash val="solid"/>
            </a:ln>
          </spPr>
          <invertIfNegative val="0"/>
          <cat>
            <strRef>
              <f>'Monte Carlo'!$J$7:$J$18</f>
              <strCache>
                <ptCount val="12"/>
                <pt idx="0">
                  <v>&lt;= $2,657,589</v>
                </pt>
                <pt idx="1">
                  <v>&lt;= $5,315,179</v>
                </pt>
                <pt idx="2">
                  <v>&lt;= $7,972,768</v>
                </pt>
                <pt idx="3">
                  <v>&lt;= $10,630,357</v>
                </pt>
                <pt idx="4">
                  <v>&lt;= $13,287,947</v>
                </pt>
                <pt idx="5">
                  <v>&lt;= $15,945,536</v>
                </pt>
                <pt idx="6">
                  <v>&lt;= $18,603,125</v>
                </pt>
                <pt idx="7">
                  <v>&lt;= $21,260,715</v>
                </pt>
                <pt idx="8">
                  <v>&lt;= $23,918,304</v>
                </pt>
                <pt idx="9">
                  <v>&lt;= $26,575,893</v>
                </pt>
                <pt idx="10">
                  <v>&lt;= $29,233,482</v>
                </pt>
                <pt idx="11">
                  <v>&lt;= $31,891,072</v>
                </pt>
              </strCache>
            </strRef>
          </cat>
          <val>
            <numRef>
              <f>'Monte Carlo'!$K$7:$K$18</f>
              <numCache>
                <formatCode>General</formatCode>
                <ptCount val="12"/>
                <pt idx="0">
                  <v>9670</v>
                </pt>
                <pt idx="1">
                  <v>286</v>
                </pt>
                <pt idx="2">
                  <v>26</v>
                </pt>
                <pt idx="3">
                  <v>7</v>
                </pt>
                <pt idx="4">
                  <v>6</v>
                </pt>
                <pt idx="5">
                  <v>2</v>
                </pt>
                <pt idx="6">
                  <v>2</v>
                </pt>
                <pt idx="7">
                  <v>0</v>
                </pt>
                <pt idx="8">
                  <v>0</v>
                </pt>
                <pt idx="9">
                  <v>0</v>
                </pt>
                <pt idx="10">
                  <v>0</v>
                </pt>
                <pt idx="11">
                  <v>1</v>
                </pt>
              </numCache>
            </numRef>
          </val>
        </ser>
        <dLbls>
          <showLegendKey val="0"/>
          <showVal val="0"/>
          <showCatName val="0"/>
          <showSerName val="0"/>
          <showPercent val="0"/>
          <showBubbleSize val="0"/>
        </dLbls>
        <gapWidth val="219"/>
        <overlap val="-27"/>
        <axId val="1581605184"/>
        <axId val="1811456320"/>
      </barChart>
      <catAx>
        <axId val="1581605184"/>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Annual loss bin (upper bound)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811456320"/>
        <crosses val="autoZero"/>
        <auto val="1"/>
        <lblAlgn val="ctr"/>
        <lblOffset val="100"/>
        <noMultiLvlLbl val="0"/>
      </catAx>
      <valAx>
        <axId val="181145632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Number of simulated years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58160518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7</col>
      <colOff>571500</colOff>
      <row>19</row>
      <rowOff>165100</rowOff>
    </from>
    <to>
      <col>17</col>
      <colOff>571500</colOff>
      <row>40</row>
      <rowOff>165100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t="inlineStr">
        <is>
          <t>STATEABBRV</t>
        </is>
      </c>
      <c r="B1" t="inlineStr">
        <is>
          <t>COUNTY</t>
        </is>
      </c>
      <c r="C1" t="inlineStr">
        <is>
          <t>POPULATION</t>
        </is>
      </c>
      <c r="D1" t="inlineStr">
        <is>
          <t>BUILDVALUE</t>
        </is>
      </c>
      <c r="E1" t="inlineStr">
        <is>
          <t>RISK_SCORE</t>
        </is>
      </c>
      <c r="F1" t="inlineStr">
        <is>
          <t>RISK_RATNG</t>
        </is>
      </c>
      <c r="G1" t="inlineStr">
        <is>
          <t>EAL_SCORE</t>
        </is>
      </c>
      <c r="H1" t="inlineStr">
        <is>
          <t>EAL_VALT</t>
        </is>
      </c>
      <c r="I1" t="inlineStr">
        <is>
          <t>CFLD_EALT</t>
        </is>
      </c>
      <c r="J1" t="inlineStr">
        <is>
          <t>HRCN_EALT</t>
        </is>
      </c>
      <c r="K1" t="inlineStr">
        <is>
          <t>IFLD_EALT</t>
        </is>
      </c>
    </row>
    <row r="2">
      <c r="A2" t="inlineStr">
        <is>
          <t>LA</t>
        </is>
      </c>
      <c r="B2" t="inlineStr">
        <is>
          <t>Acadia</t>
        </is>
      </c>
      <c r="C2" t="n">
        <v>57475</v>
      </c>
      <c r="D2" t="n">
        <v>12146909074</v>
      </c>
      <c r="E2" t="n">
        <v>88.6132315521628</v>
      </c>
      <c r="F2" t="inlineStr">
        <is>
          <t>Relatively Moderate</t>
        </is>
      </c>
      <c r="G2" t="n">
        <v>83.9727722772277</v>
      </c>
      <c r="H2" t="n">
        <v>50669160.0697588</v>
      </c>
      <c r="I2" t="n">
        <v>33011.112772329</v>
      </c>
      <c r="J2" t="n">
        <v>21908089.4501141</v>
      </c>
      <c r="K2" t="n">
        <v>19080498.2747921</v>
      </c>
    </row>
    <row r="3">
      <c r="A3" t="inlineStr">
        <is>
          <t>LA</t>
        </is>
      </c>
      <c r="B3" t="inlineStr">
        <is>
          <t>Allen</t>
        </is>
      </c>
      <c r="C3" t="n">
        <v>22708</v>
      </c>
      <c r="D3" t="n">
        <v>4379047454</v>
      </c>
      <c r="E3" t="n">
        <v>50.6997455470737</v>
      </c>
      <c r="F3" t="inlineStr">
        <is>
          <t>Relatively Low</t>
        </is>
      </c>
      <c r="G3" t="n">
        <v>48.0507425742574</v>
      </c>
      <c r="H3" t="n">
        <v>13966086.9279801</v>
      </c>
      <c r="I3" t="n">
        <v>4452.02934999999</v>
      </c>
      <c r="J3" t="n">
        <v>3190902.89721813</v>
      </c>
      <c r="K3" t="n">
        <v>4828706.6719907</v>
      </c>
    </row>
    <row r="4">
      <c r="A4" t="inlineStr">
        <is>
          <t>LA</t>
        </is>
      </c>
      <c r="B4" t="inlineStr">
        <is>
          <t>Ascension</t>
        </is>
      </c>
      <c r="C4" t="n">
        <v>126426</v>
      </c>
      <c r="D4" t="n">
        <v>33891912888</v>
      </c>
      <c r="E4" t="n">
        <v>92.14376590330779</v>
      </c>
      <c r="F4" t="inlineStr">
        <is>
          <t>Relatively Moderate</t>
        </is>
      </c>
      <c r="G4" t="n">
        <v>92.3576732673267</v>
      </c>
      <c r="H4" t="n">
        <v>120059732.403119</v>
      </c>
      <c r="I4" t="n">
        <v>2170874.34074899</v>
      </c>
      <c r="J4" t="n">
        <v>74181524.4141752</v>
      </c>
      <c r="K4" t="n">
        <v>18498957.9774046</v>
      </c>
    </row>
    <row r="5">
      <c r="A5" t="inlineStr">
        <is>
          <t>LA</t>
        </is>
      </c>
      <c r="B5" t="inlineStr">
        <is>
          <t>Assumption</t>
        </is>
      </c>
      <c r="C5" t="n">
        <v>21017</v>
      </c>
      <c r="D5" t="n">
        <v>3694550028</v>
      </c>
      <c r="E5" t="n">
        <v>70.2926208651399</v>
      </c>
      <c r="F5" t="inlineStr">
        <is>
          <t>Relatively Low</t>
        </is>
      </c>
      <c r="G5" t="n">
        <v>60.8601485148514</v>
      </c>
      <c r="H5" t="n">
        <v>20205198.4707591</v>
      </c>
      <c r="I5" t="n">
        <v>1348849.84373</v>
      </c>
      <c r="J5" t="n">
        <v>10724194.0066109</v>
      </c>
      <c r="K5" t="n">
        <v>2424312.7918446</v>
      </c>
    </row>
    <row r="6">
      <c r="A6" t="inlineStr">
        <is>
          <t>LA</t>
        </is>
      </c>
      <c r="B6" t="inlineStr">
        <is>
          <t>Avoyelles</t>
        </is>
      </c>
      <c r="C6" t="n">
        <v>39654</v>
      </c>
      <c r="D6" t="n">
        <v>7263081772</v>
      </c>
      <c r="E6" t="n">
        <v>72.99618320610681</v>
      </c>
      <c r="F6" t="inlineStr">
        <is>
          <t>Relatively Low</t>
        </is>
      </c>
      <c r="G6" t="n">
        <v>60.0556930693069</v>
      </c>
      <c r="H6" t="n">
        <v>19898380.5742501</v>
      </c>
      <c r="I6" t="n">
        <v>0</v>
      </c>
      <c r="J6" t="n">
        <v>4775662.45238351</v>
      </c>
      <c r="K6" t="n">
        <v>3539154.92627743</v>
      </c>
    </row>
    <row r="7">
      <c r="A7" t="inlineStr">
        <is>
          <t>LA</t>
        </is>
      </c>
      <c r="B7" t="inlineStr">
        <is>
          <t>Beauregard</t>
        </is>
      </c>
      <c r="C7" t="n">
        <v>36508</v>
      </c>
      <c r="D7" t="n">
        <v>7276727176</v>
      </c>
      <c r="E7" t="n">
        <v>55.5661577608142</v>
      </c>
      <c r="F7" t="inlineStr">
        <is>
          <t>Relatively Low</t>
        </is>
      </c>
      <c r="G7" t="n">
        <v>54.3007425742574</v>
      </c>
      <c r="H7" t="n">
        <v>16616741.8502555</v>
      </c>
      <c r="I7" t="n">
        <v>736.598179279999</v>
      </c>
      <c r="J7" t="n">
        <v>2464017.91303317</v>
      </c>
      <c r="K7" t="n">
        <v>8049386.91385765</v>
      </c>
    </row>
    <row r="8">
      <c r="A8" t="inlineStr">
        <is>
          <t>LA</t>
        </is>
      </c>
      <c r="B8" t="inlineStr">
        <is>
          <t>Bienville</t>
        </is>
      </c>
      <c r="C8" t="n">
        <v>12958</v>
      </c>
      <c r="D8" t="n">
        <v>2655204791</v>
      </c>
      <c r="E8" t="n">
        <v>28.6577608142493</v>
      </c>
      <c r="F8" t="inlineStr">
        <is>
          <t>Very Low</t>
        </is>
      </c>
      <c r="G8" t="n">
        <v>15.8725247524752</v>
      </c>
      <c r="H8" t="n">
        <v>5665212.72868883</v>
      </c>
      <c r="J8" t="n">
        <v>294435.830227369</v>
      </c>
      <c r="K8" t="n">
        <v>1780836.24713651</v>
      </c>
    </row>
    <row r="9">
      <c r="A9" t="inlineStr">
        <is>
          <t>LA</t>
        </is>
      </c>
      <c r="B9" t="inlineStr">
        <is>
          <t>Bossier</t>
        </is>
      </c>
      <c r="C9" t="n">
        <v>128536</v>
      </c>
      <c r="D9" t="n">
        <v>20907296495</v>
      </c>
      <c r="E9" t="n">
        <v>82.5381679389312</v>
      </c>
      <c r="F9" t="inlineStr">
        <is>
          <t>Relatively Moderate</t>
        </is>
      </c>
      <c r="G9" t="n">
        <v>82.79702970297021</v>
      </c>
      <c r="H9" t="n">
        <v>47520655.0446476</v>
      </c>
      <c r="J9" t="n">
        <v>935317.757734746</v>
      </c>
      <c r="K9" t="n">
        <v>15072078.7667077</v>
      </c>
    </row>
    <row r="10">
      <c r="A10" t="inlineStr">
        <is>
          <t>LA</t>
        </is>
      </c>
      <c r="B10" t="inlineStr">
        <is>
          <t>Caddo</t>
        </is>
      </c>
      <c r="C10" t="n">
        <v>237695</v>
      </c>
      <c r="D10" t="n">
        <v>48091984659</v>
      </c>
      <c r="E10" t="n">
        <v>92.6208651399491</v>
      </c>
      <c r="F10" t="inlineStr">
        <is>
          <t>Relatively Moderate</t>
        </is>
      </c>
      <c r="G10" t="n">
        <v>89.634900990099</v>
      </c>
      <c r="H10" t="n">
        <v>88791126.657984</v>
      </c>
      <c r="J10" t="n">
        <v>2105136.83673706</v>
      </c>
      <c r="K10" t="n">
        <v>34661559.4632878</v>
      </c>
    </row>
    <row r="11">
      <c r="A11" t="inlineStr">
        <is>
          <t>LA</t>
        </is>
      </c>
      <c r="B11" t="inlineStr">
        <is>
          <t>Calcasieu</t>
        </is>
      </c>
      <c r="C11" t="n">
        <v>216652</v>
      </c>
      <c r="D11" t="n">
        <v>47460909111</v>
      </c>
      <c r="E11" t="n">
        <v>95.70610687022899</v>
      </c>
      <c r="F11" t="inlineStr">
        <is>
          <t>Relatively High</t>
        </is>
      </c>
      <c r="G11" t="n">
        <v>94.7091584158415</v>
      </c>
      <c r="H11" t="n">
        <v>163563624.163044</v>
      </c>
      <c r="I11" t="n">
        <v>2894382.69363623</v>
      </c>
      <c r="J11" t="n">
        <v>71000060.8989431</v>
      </c>
      <c r="K11" t="n">
        <v>58463562.678559</v>
      </c>
    </row>
    <row r="12">
      <c r="A12" t="inlineStr">
        <is>
          <t>LA</t>
        </is>
      </c>
      <c r="B12" t="inlineStr">
        <is>
          <t>Caldwell</t>
        </is>
      </c>
      <c r="C12" t="n">
        <v>9627</v>
      </c>
      <c r="D12" t="n">
        <v>1785823142</v>
      </c>
      <c r="E12" t="n">
        <v>10.4961832061068</v>
      </c>
      <c r="F12" t="inlineStr">
        <is>
          <t>Very Low</t>
        </is>
      </c>
      <c r="G12" t="n">
        <v>7.98267326732673</v>
      </c>
      <c r="H12" t="n">
        <v>3948529.45797756</v>
      </c>
      <c r="J12" t="n">
        <v>208116.245099326</v>
      </c>
      <c r="K12" t="n">
        <v>1703210.03162552</v>
      </c>
    </row>
    <row r="13">
      <c r="A13" t="inlineStr">
        <is>
          <t>LA</t>
        </is>
      </c>
      <c r="B13" t="inlineStr">
        <is>
          <t>Cameron</t>
        </is>
      </c>
      <c r="C13" t="n">
        <v>5615</v>
      </c>
      <c r="D13" t="n">
        <v>1244816286</v>
      </c>
      <c r="E13" t="n">
        <v>33.6513994910941</v>
      </c>
      <c r="F13" t="inlineStr">
        <is>
          <t>Very Low</t>
        </is>
      </c>
      <c r="G13" t="n">
        <v>37.0358910891089</v>
      </c>
      <c r="H13" t="n">
        <v>10565249.3890065</v>
      </c>
      <c r="I13" t="n">
        <v>3578894.21262999</v>
      </c>
      <c r="J13" t="n">
        <v>2534130.44213637</v>
      </c>
      <c r="K13" t="n">
        <v>841309.19410383</v>
      </c>
    </row>
    <row r="14">
      <c r="A14" t="inlineStr">
        <is>
          <t>LA</t>
        </is>
      </c>
      <c r="B14" t="inlineStr">
        <is>
          <t>Catahoula</t>
        </is>
      </c>
      <c r="C14" t="n">
        <v>8891</v>
      </c>
      <c r="D14" t="n">
        <v>1697326913</v>
      </c>
      <c r="E14" t="n">
        <v>17.0165394402035</v>
      </c>
      <c r="F14" t="inlineStr">
        <is>
          <t>Very Low</t>
        </is>
      </c>
      <c r="G14" t="n">
        <v>8.16831683168316</v>
      </c>
      <c r="H14" t="n">
        <v>4000047.78385299</v>
      </c>
      <c r="J14" t="n">
        <v>524798.544676417</v>
      </c>
      <c r="K14" t="n">
        <v>1081335.84859235</v>
      </c>
    </row>
    <row r="15">
      <c r="A15" t="inlineStr">
        <is>
          <t>LA</t>
        </is>
      </c>
      <c r="B15" t="inlineStr">
        <is>
          <t>Claiborne</t>
        </is>
      </c>
      <c r="C15" t="n">
        <v>14160</v>
      </c>
      <c r="D15" t="n">
        <v>2852271897</v>
      </c>
      <c r="E15" t="n">
        <v>41.7302798982188</v>
      </c>
      <c r="F15" t="inlineStr">
        <is>
          <t>Very Low</t>
        </is>
      </c>
      <c r="G15" t="n">
        <v>23.3910891089108</v>
      </c>
      <c r="H15" t="n">
        <v>7311091.87238222</v>
      </c>
      <c r="J15" t="n">
        <v>315603.917253385</v>
      </c>
      <c r="K15" t="n">
        <v>2314222.40877271</v>
      </c>
    </row>
    <row r="16">
      <c r="A16" t="inlineStr">
        <is>
          <t>LA</t>
        </is>
      </c>
      <c r="B16" t="inlineStr">
        <is>
          <t>Concordia</t>
        </is>
      </c>
      <c r="C16" t="n">
        <v>18648</v>
      </c>
      <c r="D16" t="n">
        <v>3740198463</v>
      </c>
      <c r="E16" t="n">
        <v>31.5521628498727</v>
      </c>
      <c r="F16" t="inlineStr">
        <is>
          <t>Very Low</t>
        </is>
      </c>
      <c r="G16" t="n">
        <v>20.7611386138613</v>
      </c>
      <c r="H16" t="n">
        <v>6763904.33125192</v>
      </c>
      <c r="I16" t="n">
        <v>0</v>
      </c>
      <c r="J16" t="n">
        <v>906612.457328651</v>
      </c>
      <c r="K16" t="n">
        <v>1791096.62122298</v>
      </c>
    </row>
    <row r="17">
      <c r="A17" t="inlineStr">
        <is>
          <t>LA</t>
        </is>
      </c>
      <c r="B17" t="inlineStr">
        <is>
          <t>De Soto</t>
        </is>
      </c>
      <c r="C17" t="n">
        <v>26713</v>
      </c>
      <c r="D17" t="n">
        <v>4661706100</v>
      </c>
      <c r="E17" t="n">
        <v>42.0165394402035</v>
      </c>
      <c r="F17" t="inlineStr">
        <is>
          <t>Very Low</t>
        </is>
      </c>
      <c r="G17" t="n">
        <v>31.3737623762376</v>
      </c>
      <c r="H17" t="n">
        <v>9090062.6836573</v>
      </c>
      <c r="J17" t="n">
        <v>318336.384603842</v>
      </c>
      <c r="K17" t="n">
        <v>4094465.90922547</v>
      </c>
    </row>
    <row r="18">
      <c r="A18" t="inlineStr">
        <is>
          <t>LA</t>
        </is>
      </c>
      <c r="B18" t="inlineStr">
        <is>
          <t>East Baton Rouge</t>
        </is>
      </c>
      <c r="C18" t="n">
        <v>456512</v>
      </c>
      <c r="D18" t="n">
        <v>125800226187</v>
      </c>
      <c r="E18" t="n">
        <v>97.9643765903307</v>
      </c>
      <c r="F18" t="inlineStr">
        <is>
          <t>Relatively High</t>
        </is>
      </c>
      <c r="G18" t="n">
        <v>97.0915841584158</v>
      </c>
      <c r="H18" t="n">
        <v>266587837.234601</v>
      </c>
      <c r="I18" t="n">
        <v>240077.322782999</v>
      </c>
      <c r="J18" t="n">
        <v>67157192.3182576</v>
      </c>
      <c r="K18" t="n">
        <v>103221360.615685</v>
      </c>
    </row>
    <row r="19">
      <c r="A19" t="inlineStr">
        <is>
          <t>LA</t>
        </is>
      </c>
      <c r="B19" t="inlineStr">
        <is>
          <t>East Carroll</t>
        </is>
      </c>
      <c r="C19" t="n">
        <v>7455</v>
      </c>
      <c r="D19" t="n">
        <v>1340858266</v>
      </c>
      <c r="E19" t="n">
        <v>21.5966921119592</v>
      </c>
      <c r="F19" t="inlineStr">
        <is>
          <t>Very Low</t>
        </is>
      </c>
      <c r="G19" t="n">
        <v>11.1076732673267</v>
      </c>
      <c r="H19" t="n">
        <v>4548690.82003895</v>
      </c>
      <c r="J19" t="n">
        <v>259063.808076341</v>
      </c>
      <c r="K19" t="n">
        <v>698876.583483097</v>
      </c>
    </row>
    <row r="20">
      <c r="A20" t="inlineStr">
        <is>
          <t>LA</t>
        </is>
      </c>
      <c r="B20" t="inlineStr">
        <is>
          <t>East Feliciana</t>
        </is>
      </c>
      <c r="C20" t="n">
        <v>19513</v>
      </c>
      <c r="D20" t="n">
        <v>5168950969</v>
      </c>
      <c r="E20" t="n">
        <v>56.4249363867684</v>
      </c>
      <c r="F20" t="inlineStr">
        <is>
          <t>Relatively Low</t>
        </is>
      </c>
      <c r="G20" t="n">
        <v>44.6782178217821</v>
      </c>
      <c r="H20" t="n">
        <v>12748143.4486512</v>
      </c>
      <c r="I20" t="n">
        <v>0</v>
      </c>
      <c r="J20" t="n">
        <v>2376753.60278687</v>
      </c>
      <c r="K20" t="n">
        <v>5149611.97936402</v>
      </c>
    </row>
    <row r="21">
      <c r="A21" t="inlineStr">
        <is>
          <t>LA</t>
        </is>
      </c>
      <c r="B21" t="inlineStr">
        <is>
          <t>Evangeline</t>
        </is>
      </c>
      <c r="C21" t="n">
        <v>32319</v>
      </c>
      <c r="D21" t="n">
        <v>5562696492</v>
      </c>
      <c r="E21" t="n">
        <v>75.9223918575063</v>
      </c>
      <c r="F21" t="inlineStr">
        <is>
          <t>Relatively Low</t>
        </is>
      </c>
      <c r="G21" t="n">
        <v>65.2227722772277</v>
      </c>
      <c r="H21" t="n">
        <v>22945786.8173052</v>
      </c>
      <c r="I21" t="n">
        <v>0</v>
      </c>
      <c r="J21" t="n">
        <v>4593068.04227091</v>
      </c>
      <c r="K21" t="n">
        <v>6305353.47817879</v>
      </c>
    </row>
    <row r="22">
      <c r="A22" t="inlineStr">
        <is>
          <t>LA</t>
        </is>
      </c>
      <c r="B22" t="inlineStr">
        <is>
          <t>Franklin</t>
        </is>
      </c>
      <c r="C22" t="n">
        <v>19763</v>
      </c>
      <c r="D22" t="n">
        <v>3550288697</v>
      </c>
      <c r="E22" t="n">
        <v>35.9096692111959</v>
      </c>
      <c r="F22" t="inlineStr">
        <is>
          <t>Very Low</t>
        </is>
      </c>
      <c r="G22" t="n">
        <v>25.4331683168316</v>
      </c>
      <c r="H22" t="n">
        <v>7752047.74391879</v>
      </c>
      <c r="J22" t="n">
        <v>552211.480500988</v>
      </c>
      <c r="K22" t="n">
        <v>2437450.71412484</v>
      </c>
    </row>
    <row r="23">
      <c r="A23" t="inlineStr">
        <is>
          <t>LA</t>
        </is>
      </c>
      <c r="B23" t="inlineStr">
        <is>
          <t>Grant</t>
        </is>
      </c>
      <c r="C23" t="n">
        <v>22122</v>
      </c>
      <c r="D23" t="n">
        <v>3468887601</v>
      </c>
      <c r="E23" t="n">
        <v>29.6119592875318</v>
      </c>
      <c r="F23" t="inlineStr">
        <is>
          <t>Very Low</t>
        </is>
      </c>
      <c r="G23" t="n">
        <v>27.7846534653465</v>
      </c>
      <c r="H23" t="n">
        <v>8315304.65652091</v>
      </c>
      <c r="J23" t="n">
        <v>309232.71923822</v>
      </c>
      <c r="K23" t="n">
        <v>4213358.96706744</v>
      </c>
    </row>
    <row r="24">
      <c r="A24" t="inlineStr">
        <is>
          <t>LA</t>
        </is>
      </c>
      <c r="B24" t="inlineStr">
        <is>
          <t>Iberia</t>
        </is>
      </c>
      <c r="C24" t="n">
        <v>69859</v>
      </c>
      <c r="D24" t="n">
        <v>12074287106</v>
      </c>
      <c r="E24" t="n">
        <v>90.6170483460559</v>
      </c>
      <c r="F24" t="inlineStr">
        <is>
          <t>Relatively Moderate</t>
        </is>
      </c>
      <c r="G24" t="n">
        <v>86.8502475247524</v>
      </c>
      <c r="H24" t="n">
        <v>63756060.7655518</v>
      </c>
      <c r="I24" t="n">
        <v>917629.986977909</v>
      </c>
      <c r="J24" t="n">
        <v>33448403.1777924</v>
      </c>
      <c r="K24" t="n">
        <v>15036529.0309325</v>
      </c>
    </row>
    <row r="25">
      <c r="A25" t="inlineStr">
        <is>
          <t>LA</t>
        </is>
      </c>
      <c r="B25" t="inlineStr">
        <is>
          <t>Iberville</t>
        </is>
      </c>
      <c r="C25" t="n">
        <v>30214</v>
      </c>
      <c r="D25" t="n">
        <v>6469473899</v>
      </c>
      <c r="E25" t="n">
        <v>73.7277353689567</v>
      </c>
      <c r="F25" t="inlineStr">
        <is>
          <t>Relatively Low</t>
        </is>
      </c>
      <c r="G25" t="n">
        <v>69.5235148514851</v>
      </c>
      <c r="H25" t="n">
        <v>26822072.3859852</v>
      </c>
      <c r="I25" t="n">
        <v>664129.870330599</v>
      </c>
      <c r="J25" t="n">
        <v>14985837.5468549</v>
      </c>
      <c r="K25" t="n">
        <v>3548611.8072264</v>
      </c>
    </row>
    <row r="26">
      <c r="A26" t="inlineStr">
        <is>
          <t>LA</t>
        </is>
      </c>
      <c r="B26" t="inlineStr">
        <is>
          <t>Jackson</t>
        </is>
      </c>
      <c r="C26" t="n">
        <v>15021</v>
      </c>
      <c r="D26" t="n">
        <v>3311146855</v>
      </c>
      <c r="E26" t="n">
        <v>26.176844783715</v>
      </c>
      <c r="F26" t="inlineStr">
        <is>
          <t>Very Low</t>
        </is>
      </c>
      <c r="G26" t="n">
        <v>15.6868811881188</v>
      </c>
      <c r="H26" t="n">
        <v>5645011.82900222</v>
      </c>
      <c r="J26" t="n">
        <v>235520.661456146</v>
      </c>
      <c r="K26" t="n">
        <v>2080990.72130415</v>
      </c>
    </row>
    <row r="27">
      <c r="A27" t="inlineStr">
        <is>
          <t>LA</t>
        </is>
      </c>
      <c r="B27" t="inlineStr">
        <is>
          <t>Jefferson</t>
        </is>
      </c>
      <c r="C27" t="n">
        <v>440590</v>
      </c>
      <c r="D27" t="n">
        <v>73299241386</v>
      </c>
      <c r="E27" t="n">
        <v>98.6641221374045</v>
      </c>
      <c r="F27" t="inlineStr">
        <is>
          <t>Relatively High</t>
        </is>
      </c>
      <c r="G27" t="n">
        <v>98.45297029702969</v>
      </c>
      <c r="H27" t="n">
        <v>370876414.429339</v>
      </c>
      <c r="I27" t="n">
        <v>10799982.4243299</v>
      </c>
      <c r="J27" t="n">
        <v>250677973.985668</v>
      </c>
      <c r="K27" t="n">
        <v>75821879.7854009</v>
      </c>
    </row>
    <row r="28">
      <c r="A28" t="inlineStr">
        <is>
          <t>LA</t>
        </is>
      </c>
      <c r="B28" t="inlineStr">
        <is>
          <t>Jefferson Davis</t>
        </is>
      </c>
      <c r="C28" t="n">
        <v>32235</v>
      </c>
      <c r="D28" t="n">
        <v>6396665106</v>
      </c>
      <c r="E28" t="n">
        <v>74.3320610687022</v>
      </c>
      <c r="F28" t="inlineStr">
        <is>
          <t>Relatively Low</t>
        </is>
      </c>
      <c r="G28" t="n">
        <v>70.57549504950489</v>
      </c>
      <c r="H28" t="n">
        <v>27745065.7639935</v>
      </c>
      <c r="I28" t="n">
        <v>42615.8273778652</v>
      </c>
      <c r="J28" t="n">
        <v>10363292.069697</v>
      </c>
      <c r="K28" t="n">
        <v>9670607.45658651</v>
      </c>
    </row>
    <row r="29">
      <c r="A29" t="inlineStr">
        <is>
          <t>LA</t>
        </is>
      </c>
      <c r="B29" t="inlineStr">
        <is>
          <t>Lafayette</t>
        </is>
      </c>
      <c r="C29" t="n">
        <v>241618</v>
      </c>
      <c r="D29" t="n">
        <v>50641403221</v>
      </c>
      <c r="E29" t="n">
        <v>95.1653944020356</v>
      </c>
      <c r="F29" t="inlineStr">
        <is>
          <t>Relatively High</t>
        </is>
      </c>
      <c r="G29" t="n">
        <v>95.4207920792079</v>
      </c>
      <c r="H29" t="n">
        <v>189844919.370554</v>
      </c>
      <c r="I29" t="n">
        <v>51220.2798785209</v>
      </c>
      <c r="J29" t="n">
        <v>97824350.57033511</v>
      </c>
      <c r="K29" t="n">
        <v>57387452.2290327</v>
      </c>
    </row>
    <row r="30">
      <c r="A30" t="inlineStr">
        <is>
          <t>LA</t>
        </is>
      </c>
      <c r="B30" t="inlineStr">
        <is>
          <t>Lafourche</t>
        </is>
      </c>
      <c r="C30" t="n">
        <v>97393</v>
      </c>
      <c r="D30" t="n">
        <v>14412732933</v>
      </c>
      <c r="E30" t="n">
        <v>91.3486005089058</v>
      </c>
      <c r="F30" t="inlineStr">
        <is>
          <t>Relatively Moderate</t>
        </is>
      </c>
      <c r="G30" t="n">
        <v>89.1707920792079</v>
      </c>
      <c r="H30" t="n">
        <v>82742864.9057826</v>
      </c>
      <c r="I30" t="n">
        <v>2121187.85991</v>
      </c>
      <c r="J30" t="n">
        <v>53744498.804016</v>
      </c>
      <c r="K30" t="n">
        <v>8604666.471153241</v>
      </c>
    </row>
    <row r="31">
      <c r="A31" t="inlineStr">
        <is>
          <t>LA</t>
        </is>
      </c>
      <c r="B31" t="inlineStr">
        <is>
          <t>LaSalle</t>
        </is>
      </c>
      <c r="C31" t="n">
        <v>14762</v>
      </c>
      <c r="D31" t="n">
        <v>2432968049</v>
      </c>
      <c r="E31" t="n">
        <v>12.1501272264631</v>
      </c>
      <c r="F31" t="inlineStr">
        <is>
          <t>Very Low</t>
        </is>
      </c>
      <c r="G31" t="n">
        <v>13.0569306930693</v>
      </c>
      <c r="H31" t="n">
        <v>4982414.79617773</v>
      </c>
      <c r="J31" t="n">
        <v>333752.073735501</v>
      </c>
      <c r="K31" t="n">
        <v>2578496.58987847</v>
      </c>
    </row>
    <row r="32">
      <c r="A32" t="inlineStr">
        <is>
          <t>LA</t>
        </is>
      </c>
      <c r="B32" t="inlineStr">
        <is>
          <t>Lincoln</t>
        </is>
      </c>
      <c r="C32" t="n">
        <v>48370</v>
      </c>
      <c r="D32" t="n">
        <v>8988135137</v>
      </c>
      <c r="E32" t="n">
        <v>64.3447837150127</v>
      </c>
      <c r="F32" t="inlineStr">
        <is>
          <t>Relatively Low</t>
        </is>
      </c>
      <c r="G32" t="n">
        <v>54.3935643564356</v>
      </c>
      <c r="H32" t="n">
        <v>16672142.349845</v>
      </c>
      <c r="J32" t="n">
        <v>307660.880679633</v>
      </c>
      <c r="K32" t="n">
        <v>5242490.74463409</v>
      </c>
    </row>
    <row r="33">
      <c r="A33" t="inlineStr">
        <is>
          <t>LA</t>
        </is>
      </c>
      <c r="B33" t="inlineStr">
        <is>
          <t>Livingston</t>
        </is>
      </c>
      <c r="C33" t="n">
        <v>142163</v>
      </c>
      <c r="D33" t="n">
        <v>29388047281</v>
      </c>
      <c r="E33" t="n">
        <v>94.4656488549618</v>
      </c>
      <c r="F33" t="inlineStr">
        <is>
          <t>Relatively High</t>
        </is>
      </c>
      <c r="G33" t="n">
        <v>94.80198019801971</v>
      </c>
      <c r="H33" t="n">
        <v>165627812.268861</v>
      </c>
      <c r="I33" t="n">
        <v>2223284.53898276</v>
      </c>
      <c r="J33" t="n">
        <v>61754611.4238446</v>
      </c>
      <c r="K33" t="n">
        <v>75528998.0251687</v>
      </c>
    </row>
    <row r="34">
      <c r="A34" t="inlineStr">
        <is>
          <t>LA</t>
        </is>
      </c>
      <c r="B34" t="inlineStr">
        <is>
          <t>Madison</t>
        </is>
      </c>
      <c r="C34" t="n">
        <v>10010</v>
      </c>
      <c r="D34" t="n">
        <v>1826004429</v>
      </c>
      <c r="E34" t="n">
        <v>32.442748091603</v>
      </c>
      <c r="F34" t="inlineStr">
        <is>
          <t>Very Low</t>
        </is>
      </c>
      <c r="G34" t="n">
        <v>18.5024752475247</v>
      </c>
      <c r="H34" t="n">
        <v>6206483.16960244</v>
      </c>
      <c r="J34" t="n">
        <v>336886.958286892</v>
      </c>
      <c r="K34" t="n">
        <v>1294767.22681913</v>
      </c>
    </row>
    <row r="35">
      <c r="A35" t="inlineStr">
        <is>
          <t>LA</t>
        </is>
      </c>
      <c r="B35" t="inlineStr">
        <is>
          <t>Morehouse</t>
        </is>
      </c>
      <c r="C35" t="n">
        <v>25583</v>
      </c>
      <c r="D35" t="n">
        <v>5549657685</v>
      </c>
      <c r="E35" t="n">
        <v>55.2798982188295</v>
      </c>
      <c r="F35" t="inlineStr">
        <is>
          <t>Relatively Low</t>
        </is>
      </c>
      <c r="G35" t="n">
        <v>39.7277227722772</v>
      </c>
      <c r="H35" t="n">
        <v>11226512.0687023</v>
      </c>
      <c r="J35" t="n">
        <v>310087.249687242</v>
      </c>
      <c r="K35" t="n">
        <v>5426064.77951311</v>
      </c>
    </row>
    <row r="36">
      <c r="A36" t="inlineStr">
        <is>
          <t>LA</t>
        </is>
      </c>
      <c r="B36" t="inlineStr">
        <is>
          <t>Natchitoches</t>
        </is>
      </c>
      <c r="C36" t="n">
        <v>37330</v>
      </c>
      <c r="D36" t="n">
        <v>8549461697</v>
      </c>
      <c r="E36" t="n">
        <v>56.3931297709923</v>
      </c>
      <c r="F36" t="inlineStr">
        <is>
          <t>Relatively Low</t>
        </is>
      </c>
      <c r="G36" t="n">
        <v>46.7202970297029</v>
      </c>
      <c r="H36" t="n">
        <v>13483598.9794607</v>
      </c>
      <c r="J36" t="n">
        <v>706072.221662362</v>
      </c>
      <c r="K36" t="n">
        <v>6729719.58099649</v>
      </c>
    </row>
    <row r="37">
      <c r="A37" t="inlineStr">
        <is>
          <t>LA</t>
        </is>
      </c>
      <c r="B37" t="inlineStr">
        <is>
          <t>Orleans</t>
        </is>
      </c>
      <c r="C37" t="n">
        <v>383606</v>
      </c>
      <c r="D37" t="n">
        <v>65275492153</v>
      </c>
      <c r="E37" t="n">
        <v>98.25063613231551</v>
      </c>
      <c r="F37" t="inlineStr">
        <is>
          <t>Relatively High</t>
        </is>
      </c>
      <c r="G37" t="n">
        <v>97.8032178217821</v>
      </c>
      <c r="H37" t="n">
        <v>304070271.155783</v>
      </c>
      <c r="I37" t="n">
        <v>1856223.294721</v>
      </c>
      <c r="J37" t="n">
        <v>222948612.120371</v>
      </c>
      <c r="K37" t="n">
        <v>46671981.7117792</v>
      </c>
    </row>
    <row r="38">
      <c r="A38" t="inlineStr">
        <is>
          <t>LA</t>
        </is>
      </c>
      <c r="B38" t="inlineStr">
        <is>
          <t>Ouachita</t>
        </is>
      </c>
      <c r="C38" t="n">
        <v>160298</v>
      </c>
      <c r="D38" t="n">
        <v>31950100490</v>
      </c>
      <c r="E38" t="n">
        <v>87.5</v>
      </c>
      <c r="F38" t="inlineStr">
        <is>
          <t>Relatively Moderate</t>
        </is>
      </c>
      <c r="G38" t="n">
        <v>83.84900990099</v>
      </c>
      <c r="H38" t="n">
        <v>50274042.1091313</v>
      </c>
      <c r="J38" t="n">
        <v>1319574.94950989</v>
      </c>
      <c r="K38" t="n">
        <v>21733982.5280481</v>
      </c>
    </row>
    <row r="39">
      <c r="A39" t="inlineStr">
        <is>
          <t>LA</t>
        </is>
      </c>
      <c r="B39" t="inlineStr">
        <is>
          <t>Plaquemines</t>
        </is>
      </c>
      <c r="C39" t="n">
        <v>23448</v>
      </c>
      <c r="D39" t="n">
        <v>5467152903</v>
      </c>
      <c r="E39" t="n">
        <v>72.9325699745547</v>
      </c>
      <c r="F39" t="inlineStr">
        <is>
          <t>Relatively Low</t>
        </is>
      </c>
      <c r="G39" t="n">
        <v>70.82301980198019</v>
      </c>
      <c r="H39" t="n">
        <v>28104733.541696</v>
      </c>
      <c r="I39" t="n">
        <v>2799811.35890999</v>
      </c>
      <c r="J39" t="n">
        <v>19105259.6294239</v>
      </c>
      <c r="K39" t="n">
        <v>2738189.71841233</v>
      </c>
    </row>
    <row r="40">
      <c r="A40" t="inlineStr">
        <is>
          <t>LA</t>
        </is>
      </c>
      <c r="B40" t="inlineStr">
        <is>
          <t>Pointe Coupee</t>
        </is>
      </c>
      <c r="C40" t="n">
        <v>20697</v>
      </c>
      <c r="D40" t="n">
        <v>5248159269</v>
      </c>
      <c r="E40" t="n">
        <v>63.0725190839694</v>
      </c>
      <c r="F40" t="inlineStr">
        <is>
          <t>Relatively Low</t>
        </is>
      </c>
      <c r="G40" t="n">
        <v>51.7017326732673</v>
      </c>
      <c r="H40" t="n">
        <v>15509842.1088081</v>
      </c>
      <c r="I40" t="n">
        <v>0</v>
      </c>
      <c r="J40" t="n">
        <v>3071733.32901537</v>
      </c>
      <c r="K40" t="n">
        <v>2056078.4413531</v>
      </c>
    </row>
    <row r="41">
      <c r="A41" t="inlineStr">
        <is>
          <t>LA</t>
        </is>
      </c>
      <c r="B41" t="inlineStr">
        <is>
          <t>Rapides</t>
        </is>
      </c>
      <c r="C41" t="n">
        <v>129664</v>
      </c>
      <c r="D41" t="n">
        <v>26161955369</v>
      </c>
      <c r="E41" t="n">
        <v>84.2875318066157</v>
      </c>
      <c r="F41" t="inlineStr">
        <is>
          <t>Relatively Moderate</t>
        </is>
      </c>
      <c r="G41" t="n">
        <v>79.4863861386138</v>
      </c>
      <c r="H41" t="n">
        <v>39583507.7805049</v>
      </c>
      <c r="J41" t="n">
        <v>6367392.09713244</v>
      </c>
      <c r="K41" t="n">
        <v>16394066.0554722</v>
      </c>
    </row>
    <row r="42">
      <c r="A42" t="inlineStr">
        <is>
          <t>LA</t>
        </is>
      </c>
      <c r="B42" t="inlineStr">
        <is>
          <t>Red River</t>
        </is>
      </c>
      <c r="C42" t="n">
        <v>7602</v>
      </c>
      <c r="D42" t="n">
        <v>1642242270</v>
      </c>
      <c r="E42" t="n">
        <v>16.6666666666666</v>
      </c>
      <c r="F42" t="inlineStr">
        <is>
          <t>Very Low</t>
        </is>
      </c>
      <c r="G42" t="n">
        <v>8.26113861386138</v>
      </c>
      <c r="H42" t="n">
        <v>4024371.3947619</v>
      </c>
      <c r="J42" t="n">
        <v>196005.834008438</v>
      </c>
      <c r="K42" t="n">
        <v>1357428.50080554</v>
      </c>
    </row>
    <row r="43">
      <c r="A43" t="inlineStr">
        <is>
          <t>LA</t>
        </is>
      </c>
      <c r="B43" t="inlineStr">
        <is>
          <t>Richland</t>
        </is>
      </c>
      <c r="C43" t="n">
        <v>19986</v>
      </c>
      <c r="D43" t="n">
        <v>4010523360</v>
      </c>
      <c r="E43" t="n">
        <v>36.6730279898218</v>
      </c>
      <c r="F43" t="inlineStr">
        <is>
          <t>Very Low</t>
        </is>
      </c>
      <c r="G43" t="n">
        <v>24.5358910891089</v>
      </c>
      <c r="H43" t="n">
        <v>7542999.85173816</v>
      </c>
      <c r="J43" t="n">
        <v>265018.118597022</v>
      </c>
      <c r="K43" t="n">
        <v>2337587.37608232</v>
      </c>
    </row>
    <row r="44">
      <c r="A44" t="inlineStr">
        <is>
          <t>LA</t>
        </is>
      </c>
      <c r="B44" t="inlineStr">
        <is>
          <t>Sabine</t>
        </is>
      </c>
      <c r="C44" t="n">
        <v>22039</v>
      </c>
      <c r="D44" t="n">
        <v>5524248692</v>
      </c>
      <c r="E44" t="n">
        <v>60.973282442748</v>
      </c>
      <c r="F44" t="inlineStr">
        <is>
          <t>Relatively Low</t>
        </is>
      </c>
      <c r="G44" t="n">
        <v>47.9269801980198</v>
      </c>
      <c r="H44" t="n">
        <v>13916443.9347172</v>
      </c>
      <c r="J44" t="n">
        <v>1267059.90684293</v>
      </c>
      <c r="K44" t="n">
        <v>7224887.80525919</v>
      </c>
    </row>
    <row r="45">
      <c r="A45" t="inlineStr">
        <is>
          <t>LA</t>
        </is>
      </c>
      <c r="B45" t="inlineStr">
        <is>
          <t>St. Bernard</t>
        </is>
      </c>
      <c r="C45" t="n">
        <v>43709</v>
      </c>
      <c r="D45" t="n">
        <v>7352693814</v>
      </c>
      <c r="E45" t="n">
        <v>75.6043256997455</v>
      </c>
      <c r="F45" t="inlineStr">
        <is>
          <t>Relatively Low</t>
        </is>
      </c>
      <c r="G45" t="n">
        <v>76.29950495049501</v>
      </c>
      <c r="H45" t="n">
        <v>34722681.7186865</v>
      </c>
      <c r="I45" t="n">
        <v>1565243.48768899</v>
      </c>
      <c r="J45" t="n">
        <v>25306292.6982824</v>
      </c>
      <c r="K45" t="n">
        <v>3711084.02290029</v>
      </c>
    </row>
    <row r="46">
      <c r="A46" t="inlineStr">
        <is>
          <t>LA</t>
        </is>
      </c>
      <c r="B46" t="inlineStr">
        <is>
          <t>St. Charles</t>
        </is>
      </c>
      <c r="C46" t="n">
        <v>52479</v>
      </c>
      <c r="D46" t="n">
        <v>9236637356</v>
      </c>
      <c r="E46" t="n">
        <v>85.0508905852417</v>
      </c>
      <c r="F46" t="inlineStr">
        <is>
          <t>Relatively Moderate</t>
        </is>
      </c>
      <c r="G46" t="n">
        <v>85.45792079207919</v>
      </c>
      <c r="H46" t="n">
        <v>56737613.8173925</v>
      </c>
      <c r="I46" t="n">
        <v>13088655.9862887</v>
      </c>
      <c r="J46" t="n">
        <v>28596135.675833</v>
      </c>
      <c r="K46" t="n">
        <v>7570284.896019</v>
      </c>
    </row>
    <row r="47">
      <c r="A47" t="inlineStr">
        <is>
          <t>LA</t>
        </is>
      </c>
      <c r="B47" t="inlineStr">
        <is>
          <t>St. Helena</t>
        </is>
      </c>
      <c r="C47" t="n">
        <v>10911</v>
      </c>
      <c r="D47" t="n">
        <v>2038609437</v>
      </c>
      <c r="E47" t="n">
        <v>36.2913486005089</v>
      </c>
      <c r="F47" t="inlineStr">
        <is>
          <t>Very Low</t>
        </is>
      </c>
      <c r="G47" t="n">
        <v>21.5965346534653</v>
      </c>
      <c r="H47" t="n">
        <v>6889450.39157669</v>
      </c>
      <c r="J47" t="n">
        <v>1101108.69905693</v>
      </c>
      <c r="K47" t="n">
        <v>2466451.27651781</v>
      </c>
    </row>
    <row r="48">
      <c r="A48" t="inlineStr">
        <is>
          <t>LA</t>
        </is>
      </c>
      <c r="B48" t="inlineStr">
        <is>
          <t>St. James</t>
        </is>
      </c>
      <c r="C48" t="n">
        <v>20169</v>
      </c>
      <c r="D48" t="n">
        <v>4716180307</v>
      </c>
      <c r="E48" t="n">
        <v>71.0241730279898</v>
      </c>
      <c r="F48" t="inlineStr">
        <is>
          <t>Relatively Low</t>
        </is>
      </c>
      <c r="G48" t="n">
        <v>65.1608910891089</v>
      </c>
      <c r="H48" t="n">
        <v>22915831.1692875</v>
      </c>
      <c r="I48" t="n">
        <v>2501085.20212</v>
      </c>
      <c r="J48" t="n">
        <v>13285865.4776613</v>
      </c>
      <c r="K48" t="n">
        <v>2309921.05847591</v>
      </c>
    </row>
    <row r="49">
      <c r="A49" t="inlineStr">
        <is>
          <t>LA</t>
        </is>
      </c>
      <c r="B49" t="inlineStr">
        <is>
          <t>St. John the Baptist</t>
        </is>
      </c>
      <c r="C49" t="n">
        <v>42466</v>
      </c>
      <c r="D49" t="n">
        <v>9177481648</v>
      </c>
      <c r="E49" t="n">
        <v>81.5203562340966</v>
      </c>
      <c r="F49" t="inlineStr">
        <is>
          <t>Relatively Moderate</t>
        </is>
      </c>
      <c r="G49" t="n">
        <v>82.4257425742574</v>
      </c>
      <c r="H49" t="n">
        <v>46397986.4123368</v>
      </c>
      <c r="I49" t="n">
        <v>1675172.79277499</v>
      </c>
      <c r="J49" t="n">
        <v>27621435.9167985</v>
      </c>
      <c r="K49" t="n">
        <v>8503992.617826641</v>
      </c>
    </row>
    <row r="50">
      <c r="A50" t="inlineStr">
        <is>
          <t>LA</t>
        </is>
      </c>
      <c r="B50" t="inlineStr">
        <is>
          <t>St. Landry</t>
        </is>
      </c>
      <c r="C50" t="n">
        <v>82428</v>
      </c>
      <c r="D50" t="n">
        <v>17089929620</v>
      </c>
      <c r="E50" t="n">
        <v>88.1997455470737</v>
      </c>
      <c r="F50" t="inlineStr">
        <is>
          <t>Relatively Moderate</t>
        </is>
      </c>
      <c r="G50" t="n">
        <v>83.6633663366336</v>
      </c>
      <c r="H50" t="n">
        <v>49920315.563532</v>
      </c>
      <c r="I50" t="n">
        <v>16094.91119714</v>
      </c>
      <c r="J50" t="n">
        <v>8200742.65787034</v>
      </c>
      <c r="K50" t="n">
        <v>20854121.3139846</v>
      </c>
    </row>
    <row r="51">
      <c r="A51" t="inlineStr">
        <is>
          <t>LA</t>
        </is>
      </c>
      <c r="B51" t="inlineStr">
        <is>
          <t>St. Martin</t>
        </is>
      </c>
      <c r="C51" t="n">
        <v>51686</v>
      </c>
      <c r="D51" t="n">
        <v>9461683135</v>
      </c>
      <c r="E51" t="n">
        <v>87.27735368956741</v>
      </c>
      <c r="F51" t="inlineStr">
        <is>
          <t>Relatively Moderate</t>
        </is>
      </c>
      <c r="G51" t="n">
        <v>82.6732673267326</v>
      </c>
      <c r="H51" t="n">
        <v>46977614.5662131</v>
      </c>
      <c r="I51" t="n">
        <v>3235128.156838</v>
      </c>
      <c r="J51" t="n">
        <v>20550333.1966438</v>
      </c>
      <c r="K51" t="n">
        <v>9045784.606067801</v>
      </c>
    </row>
    <row r="52">
      <c r="A52" t="inlineStr">
        <is>
          <t>LA</t>
        </is>
      </c>
      <c r="B52" t="inlineStr">
        <is>
          <t>St. Mary</t>
        </is>
      </c>
      <c r="C52" t="n">
        <v>49313</v>
      </c>
      <c r="D52" t="n">
        <v>13160292628</v>
      </c>
      <c r="E52" t="n">
        <v>88.9312977099236</v>
      </c>
      <c r="F52" t="inlineStr">
        <is>
          <t>Relatively Moderate</t>
        </is>
      </c>
      <c r="G52" t="n">
        <v>86.41707920792069</v>
      </c>
      <c r="H52" t="n">
        <v>60665561.1152429</v>
      </c>
      <c r="I52" t="n">
        <v>6488108.06619589</v>
      </c>
      <c r="J52" t="n">
        <v>38765392.7365536</v>
      </c>
      <c r="K52" t="n">
        <v>5254685.66051384</v>
      </c>
    </row>
    <row r="53">
      <c r="A53" t="inlineStr">
        <is>
          <t>LA</t>
        </is>
      </c>
      <c r="B53" t="inlineStr">
        <is>
          <t>St. Tammany</t>
        </is>
      </c>
      <c r="C53" t="n">
        <v>263870</v>
      </c>
      <c r="D53" t="n">
        <v>49038700941</v>
      </c>
      <c r="E53" t="n">
        <v>96.56488549618319</v>
      </c>
      <c r="F53" t="inlineStr">
        <is>
          <t>Relatively High</t>
        </is>
      </c>
      <c r="G53" t="n">
        <v>96.6584158415841</v>
      </c>
      <c r="H53" t="n">
        <v>248945709.76276</v>
      </c>
      <c r="I53" t="n">
        <v>3280470.95552336</v>
      </c>
      <c r="J53" t="n">
        <v>143209212.459819</v>
      </c>
      <c r="K53" t="n">
        <v>70158920.3261496</v>
      </c>
    </row>
    <row r="54">
      <c r="A54" t="inlineStr">
        <is>
          <t>LA</t>
        </is>
      </c>
      <c r="B54" t="inlineStr">
        <is>
          <t>Tangipahoa</t>
        </is>
      </c>
      <c r="C54" t="n">
        <v>132858</v>
      </c>
      <c r="D54" t="n">
        <v>23269040077</v>
      </c>
      <c r="E54" t="n">
        <v>93.32061068702281</v>
      </c>
      <c r="F54" t="inlineStr">
        <is>
          <t>Relatively Moderate</t>
        </is>
      </c>
      <c r="G54" t="n">
        <v>91.3366336633663</v>
      </c>
      <c r="H54" t="n">
        <v>107424305.561058</v>
      </c>
      <c r="I54" t="n">
        <v>816858.2255416</v>
      </c>
      <c r="J54" t="n">
        <v>54268564.8037693</v>
      </c>
      <c r="K54" t="n">
        <v>34304584.0663759</v>
      </c>
    </row>
    <row r="55">
      <c r="A55" t="inlineStr">
        <is>
          <t>LA</t>
        </is>
      </c>
      <c r="B55" t="inlineStr">
        <is>
          <t>Tensas</t>
        </is>
      </c>
      <c r="C55" t="n">
        <v>4133</v>
      </c>
      <c r="D55" t="n">
        <v>1457136852</v>
      </c>
      <c r="E55" t="n">
        <v>14.5038167938931</v>
      </c>
      <c r="F55" t="inlineStr">
        <is>
          <t>Very Low</t>
        </is>
      </c>
      <c r="G55" t="n">
        <v>6.89975247524752</v>
      </c>
      <c r="H55" t="n">
        <v>3606300.45785311</v>
      </c>
      <c r="J55" t="n">
        <v>371259.650772744</v>
      </c>
      <c r="K55" t="n">
        <v>672133.661516446</v>
      </c>
    </row>
    <row r="56">
      <c r="A56" t="inlineStr">
        <is>
          <t>LA</t>
        </is>
      </c>
      <c r="B56" t="inlineStr">
        <is>
          <t>Terrebonne</t>
        </is>
      </c>
      <c r="C56" t="n">
        <v>109484</v>
      </c>
      <c r="D56" t="n">
        <v>24647672139</v>
      </c>
      <c r="E56" t="n">
        <v>94.2430025445292</v>
      </c>
      <c r="F56" t="inlineStr">
        <is>
          <t>Relatively Moderate</t>
        </is>
      </c>
      <c r="G56" t="n">
        <v>93.7190594059405</v>
      </c>
      <c r="H56" t="n">
        <v>140687958.274612</v>
      </c>
      <c r="I56" t="n">
        <v>9125032.755301001</v>
      </c>
      <c r="J56" t="n">
        <v>89259435.0445352</v>
      </c>
      <c r="K56" t="n">
        <v>19861626.8495145</v>
      </c>
    </row>
    <row r="57">
      <c r="A57" t="inlineStr">
        <is>
          <t>LA</t>
        </is>
      </c>
      <c r="B57" t="inlineStr">
        <is>
          <t>Union</t>
        </is>
      </c>
      <c r="C57" t="n">
        <v>21031</v>
      </c>
      <c r="D57" t="n">
        <v>5092989043</v>
      </c>
      <c r="E57" t="n">
        <v>49.6501272264631</v>
      </c>
      <c r="F57" t="inlineStr">
        <is>
          <t>Relatively Low</t>
        </is>
      </c>
      <c r="G57" t="n">
        <v>37.4071782178217</v>
      </c>
      <c r="H57" t="n">
        <v>10629873.2418634</v>
      </c>
      <c r="J57" t="n">
        <v>215542.759919551</v>
      </c>
      <c r="K57" t="n">
        <v>5553919.64738399</v>
      </c>
    </row>
    <row r="58">
      <c r="A58" t="inlineStr">
        <is>
          <t>LA</t>
        </is>
      </c>
      <c r="B58" t="inlineStr">
        <is>
          <t>Vermilion</t>
        </is>
      </c>
      <c r="C58" t="n">
        <v>57317</v>
      </c>
      <c r="D58" t="n">
        <v>8124171771</v>
      </c>
      <c r="E58" t="n">
        <v>84.7646310432569</v>
      </c>
      <c r="F58" t="inlineStr">
        <is>
          <t>Relatively Moderate</t>
        </is>
      </c>
      <c r="G58" t="n">
        <v>81.6831683168316</v>
      </c>
      <c r="H58" t="n">
        <v>44279628.4910639</v>
      </c>
      <c r="I58" t="n">
        <v>705061.570024738</v>
      </c>
      <c r="J58" t="n">
        <v>19377337.480432</v>
      </c>
      <c r="K58" t="n">
        <v>15452645.0783168</v>
      </c>
    </row>
    <row r="59">
      <c r="A59" t="inlineStr">
        <is>
          <t>LA</t>
        </is>
      </c>
      <c r="B59" t="inlineStr">
        <is>
          <t>Vernon</t>
        </is>
      </c>
      <c r="C59" t="n">
        <v>48626</v>
      </c>
      <c r="D59" t="n">
        <v>8208983596</v>
      </c>
      <c r="E59" t="n">
        <v>68.8931297709923</v>
      </c>
      <c r="F59" t="inlineStr">
        <is>
          <t>Relatively Low</t>
        </is>
      </c>
      <c r="G59" t="n">
        <v>62.8403465346534</v>
      </c>
      <c r="H59" t="n">
        <v>21557664.6481041</v>
      </c>
      <c r="J59" t="n">
        <v>3786731.64947665</v>
      </c>
      <c r="K59" t="n">
        <v>8851728.58831873</v>
      </c>
    </row>
    <row r="60">
      <c r="A60" t="inlineStr">
        <is>
          <t>LA</t>
        </is>
      </c>
      <c r="B60" t="inlineStr">
        <is>
          <t>Washington</t>
        </is>
      </c>
      <c r="C60" t="n">
        <v>45382</v>
      </c>
      <c r="D60" t="n">
        <v>8479805347</v>
      </c>
      <c r="E60" t="n">
        <v>85.5279898218829</v>
      </c>
      <c r="F60" t="inlineStr">
        <is>
          <t>Relatively Moderate</t>
        </is>
      </c>
      <c r="G60" t="n">
        <v>76.3613861386138</v>
      </c>
      <c r="H60" t="n">
        <v>34773189.6769561</v>
      </c>
      <c r="J60" t="n">
        <v>17007855.8973508</v>
      </c>
      <c r="K60" t="n">
        <v>11291707.6149502</v>
      </c>
    </row>
    <row r="61">
      <c r="A61" t="inlineStr">
        <is>
          <t>LA</t>
        </is>
      </c>
      <c r="B61" t="inlineStr">
        <is>
          <t>Webster</t>
        </is>
      </c>
      <c r="C61" t="n">
        <v>36954</v>
      </c>
      <c r="D61" t="n">
        <v>9587935011</v>
      </c>
      <c r="E61" t="n">
        <v>69.5292620865139</v>
      </c>
      <c r="F61" t="inlineStr">
        <is>
          <t>Relatively Low</t>
        </is>
      </c>
      <c r="G61" t="n">
        <v>56.404702970297</v>
      </c>
      <c r="H61" t="n">
        <v>17800905.9627279</v>
      </c>
      <c r="J61" t="n">
        <v>405564.73217225</v>
      </c>
      <c r="K61" t="n">
        <v>6729616.16095696</v>
      </c>
    </row>
    <row r="62">
      <c r="A62" t="inlineStr">
        <is>
          <t>LA</t>
        </is>
      </c>
      <c r="B62" t="inlineStr">
        <is>
          <t>West Baton Rouge</t>
        </is>
      </c>
      <c r="C62" t="n">
        <v>27101</v>
      </c>
      <c r="D62" t="n">
        <v>5544395690</v>
      </c>
      <c r="E62" t="n">
        <v>31.8384223918575</v>
      </c>
      <c r="F62" t="inlineStr">
        <is>
          <t>Very Low</t>
        </is>
      </c>
      <c r="G62" t="n">
        <v>46.2561881188118</v>
      </c>
      <c r="H62" t="n">
        <v>13352799.3567828</v>
      </c>
      <c r="I62" t="n">
        <v>0.086558</v>
      </c>
      <c r="J62" t="n">
        <v>3255186.88098703</v>
      </c>
      <c r="K62" t="n">
        <v>2099030.7307789</v>
      </c>
    </row>
    <row r="63">
      <c r="A63" t="inlineStr">
        <is>
          <t>LA</t>
        </is>
      </c>
      <c r="B63" t="inlineStr">
        <is>
          <t>West Carroll</t>
        </is>
      </c>
      <c r="C63" t="n">
        <v>9736</v>
      </c>
      <c r="D63" t="n">
        <v>1716939671</v>
      </c>
      <c r="E63" t="n">
        <v>15.3944020356234</v>
      </c>
      <c r="F63" t="inlineStr">
        <is>
          <t>Very Low</t>
        </is>
      </c>
      <c r="G63" t="n">
        <v>9.375</v>
      </c>
      <c r="H63" t="n">
        <v>4173437.85366343</v>
      </c>
      <c r="J63" t="n">
        <v>194220.4767072</v>
      </c>
      <c r="K63" t="n">
        <v>832733.427129513</v>
      </c>
    </row>
    <row r="64">
      <c r="A64" t="inlineStr">
        <is>
          <t>LA</t>
        </is>
      </c>
      <c r="B64" t="inlineStr">
        <is>
          <t>West Feliciana</t>
        </is>
      </c>
      <c r="C64" t="n">
        <v>15300</v>
      </c>
      <c r="D64" t="n">
        <v>2879099988</v>
      </c>
      <c r="E64" t="n">
        <v>34.7328244274809</v>
      </c>
      <c r="F64" t="inlineStr">
        <is>
          <t>Very Low</t>
        </is>
      </c>
      <c r="G64" t="n">
        <v>33.694306930693</v>
      </c>
      <c r="H64" t="n">
        <v>9647380.02710674</v>
      </c>
      <c r="I64" t="n">
        <v>0</v>
      </c>
      <c r="J64" t="n">
        <v>1315457.8060768</v>
      </c>
      <c r="K64" t="n">
        <v>3180923.46773083</v>
      </c>
    </row>
    <row r="65">
      <c r="A65" t="inlineStr">
        <is>
          <t>LA</t>
        </is>
      </c>
      <c r="B65" t="inlineStr">
        <is>
          <t>Winn</t>
        </is>
      </c>
      <c r="C65" t="n">
        <v>13718</v>
      </c>
      <c r="D65" t="n">
        <v>2621449852</v>
      </c>
      <c r="E65" t="n">
        <v>29.5483460559796</v>
      </c>
      <c r="F65" t="inlineStr">
        <is>
          <t>Very Low</t>
        </is>
      </c>
      <c r="G65" t="n">
        <v>16.5532178217821</v>
      </c>
      <c r="H65" t="n">
        <v>5847084.04176849</v>
      </c>
      <c r="J65" t="n">
        <v>247416.445657732</v>
      </c>
      <c r="K65" t="n">
        <v>3051943.33527916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19"/>
  <sheetViews>
    <sheetView workbookViewId="0">
      <selection activeCell="C12" sqref="C12"/>
    </sheetView>
  </sheetViews>
  <sheetFormatPr baseColWidth="10" defaultRowHeight="16"/>
  <cols>
    <col width="3" customWidth="1" min="1" max="1"/>
    <col width="35" customWidth="1" min="2" max="2"/>
    <col width="28.33203125" customWidth="1" min="3" max="3"/>
    <col width="50" customWidth="1" min="4" max="4"/>
  </cols>
  <sheetData>
    <row r="2" ht="22" customHeight="1">
      <c r="B2" s="49" t="inlineStr">
        <is>
          <t>Climate Risk EAL Model  |  Inputs</t>
        </is>
      </c>
    </row>
    <row r="3">
      <c r="B3" s="32" t="inlineStr">
        <is>
          <t>Gulf Coast Natural Gas Power Plant  |  Flood Expected Annual Loss</t>
        </is>
      </c>
    </row>
    <row r="5">
      <c r="B5" s="21" t="inlineStr">
        <is>
          <t>1. Asset Selection</t>
        </is>
      </c>
      <c r="C5" s="33" t="n"/>
      <c r="D5" s="33" t="n"/>
    </row>
    <row r="6">
      <c r="B6" s="46" t="inlineStr">
        <is>
          <t>Plant (select)</t>
        </is>
      </c>
      <c r="C6" s="40" t="inlineStr">
        <is>
          <t>New Orleans Power</t>
        </is>
      </c>
    </row>
    <row r="7">
      <c r="B7" s="46" t="inlineStr">
        <is>
          <t>Plant Code</t>
        </is>
      </c>
      <c r="C7" s="41">
        <f>INDEX(LA_Gas_Plants!$A$2:$A$55,MATCH($C$6,LA_Gas_Plants!$B$2:$B$55,0))</f>
        <v/>
      </c>
    </row>
    <row r="8">
      <c r="B8" s="46" t="inlineStr">
        <is>
          <t>Parish</t>
        </is>
      </c>
      <c r="C8" s="42">
        <f>VLOOKUP($C$6,LA_Gas_Plants!$B$2:$C$55,2,FALSE)</f>
        <v/>
      </c>
    </row>
    <row r="9">
      <c r="B9" s="46" t="inlineStr">
        <is>
          <t>Nameplate Capacity (MW)</t>
        </is>
      </c>
      <c r="C9" s="83">
        <f>SUMIF(Operable!$C$3:$C$26858,$C$7,Operable!$P$3:$P$26858)</f>
        <v/>
      </c>
    </row>
    <row r="11">
      <c r="B11" s="21" t="inlineStr">
        <is>
          <t>2. Scenario and Valuation</t>
        </is>
      </c>
      <c r="C11" s="33" t="n"/>
      <c r="D11" s="33" t="n"/>
    </row>
    <row r="12">
      <c r="B12" s="46" t="inlineStr">
        <is>
          <t>RCP Climate Scenario</t>
        </is>
      </c>
      <c r="C12" s="40" t="inlineStr">
        <is>
          <t>RCP 8.5</t>
        </is>
      </c>
    </row>
    <row r="13">
      <c r="B13" s="46" t="inlineStr">
        <is>
          <t>Replacement Cost ($/kW)</t>
        </is>
      </c>
      <c r="C13" s="84" t="n">
        <v>1100</v>
      </c>
      <c r="D13" s="47" t="inlineStr">
        <is>
          <t>Adjustable assumption. Blended placeholder; CCGT overnight cost ~$700-1,300/kW.</t>
        </is>
      </c>
    </row>
    <row r="14">
      <c r="B14" s="46" t="inlineStr">
        <is>
          <t>Asset Value ($)</t>
        </is>
      </c>
      <c r="C14" s="85">
        <f>C9*1000*C13</f>
        <v/>
      </c>
      <c r="D14" s="48" t="inlineStr">
        <is>
          <t>MW x 1,000 kW/MW x $/kW</t>
        </is>
      </c>
    </row>
    <row r="16">
      <c r="B16" s="46" t="inlineStr">
        <is>
          <t>Legend</t>
        </is>
      </c>
    </row>
    <row r="17">
      <c r="B17" s="34" t="inlineStr">
        <is>
          <t>Blue + shaded</t>
        </is>
      </c>
      <c r="C17" t="inlineStr">
        <is>
          <t>User input / selector (change these)</t>
        </is>
      </c>
    </row>
    <row r="18">
      <c r="B18" s="35" t="inlineStr">
        <is>
          <t>Green</t>
        </is>
      </c>
      <c r="C18" t="inlineStr">
        <is>
          <t>Linked from another sheet</t>
        </is>
      </c>
    </row>
    <row r="19">
      <c r="B19" s="36" t="inlineStr">
        <is>
          <t>Black</t>
        </is>
      </c>
      <c r="C19" t="inlineStr">
        <is>
          <t>Calculated on this sheet</t>
        </is>
      </c>
    </row>
  </sheetData>
  <dataValidations count="1">
    <dataValidation sqref="C12" showDropDown="0" showInputMessage="1" showErrorMessage="1" allowBlank="1" type="list">
      <formula1>"RCP 4.5,RCP 8.5"</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H38"/>
  <sheetViews>
    <sheetView workbookViewId="0">
      <selection activeCell="D26" sqref="D26"/>
    </sheetView>
  </sheetViews>
  <sheetFormatPr baseColWidth="10" defaultRowHeight="16"/>
  <cols>
    <col width="2.6640625" customWidth="1" min="1" max="1"/>
    <col width="33.33203125" customWidth="1" min="2" max="2"/>
    <col width="19.1640625" customWidth="1" min="3" max="5"/>
    <col width="33.83203125" bestFit="1" customWidth="1" min="6" max="6"/>
    <col width="19.1640625" customWidth="1" min="7" max="8"/>
  </cols>
  <sheetData>
    <row r="2" ht="22" customHeight="1">
      <c r="B2" s="31" t="inlineStr">
        <is>
          <t>Expected Annual Loss Calculation</t>
        </is>
      </c>
    </row>
    <row r="3">
      <c r="B3" s="32" t="inlineStr">
        <is>
          <t>Hybrid method: USACE depth-damage structure, calibrated to FEMA parish flood EAL</t>
        </is>
      </c>
    </row>
    <row r="5">
      <c r="B5" s="21" t="inlineStr">
        <is>
          <t>A. FEMA Calibration Anchor</t>
        </is>
      </c>
      <c r="C5" s="33" t="n"/>
      <c r="D5" s="33" t="n"/>
      <c r="F5" s="21" t="inlineStr">
        <is>
          <t>B. Climate Assumptions (2050 horizon)</t>
        </is>
      </c>
      <c r="G5" s="33" t="n"/>
      <c r="H5" s="33" t="n"/>
    </row>
    <row r="6">
      <c r="B6" s="46" t="inlineStr">
        <is>
          <t>Parish (from Inputs)</t>
        </is>
      </c>
      <c r="C6" s="35">
        <f>Inputs!C8</f>
        <v/>
      </c>
      <c r="F6" s="46" t="inlineStr">
        <is>
          <t>Active RCP Scenario (from Inputs)</t>
        </is>
      </c>
      <c r="G6" s="35">
        <f>Inputs!C12</f>
        <v/>
      </c>
    </row>
    <row r="7">
      <c r="B7" s="46" t="inlineStr">
        <is>
          <t>Parish Coastal Flood EAL (FEMA CFLD_EALT)</t>
        </is>
      </c>
      <c r="C7" s="86">
        <f>SUMIFS(NRI_Table_Counties!$BV$2:$BV$3233,NRI_Table_Counties!$F$2:$F$3233,$C$6,NRI_Table_Counties!$D$2:$D$3233,"LA")</f>
        <v/>
      </c>
      <c r="F7" s="46" t="inlineStr">
        <is>
          <t>RCP 4.5 frequency multiplier</t>
        </is>
      </c>
      <c r="G7" s="37" t="n">
        <v>1.15</v>
      </c>
      <c r="H7" s="47" t="inlineStr">
        <is>
          <t>Assumed mid-century uplift on AEP</t>
        </is>
      </c>
    </row>
    <row r="8">
      <c r="B8" s="46" t="inlineStr">
        <is>
          <t>Parish Riverine Flood EAL (FEMA IFLD_EALT)</t>
        </is>
      </c>
      <c r="C8" s="86">
        <f>SUMIFS(NRI_Table_Counties!$KU$2:$KU$3233,NRI_Table_Counties!$F$2:$F$3233,$C$6,NRI_Table_Counties!$D$2:$D$3233,"LA")</f>
        <v/>
      </c>
      <c r="F8" s="46" t="inlineStr">
        <is>
          <t>RCP 8.5 frequency multiplier</t>
        </is>
      </c>
      <c r="G8" s="37" t="n">
        <v>1.3</v>
      </c>
      <c r="H8" s="47" t="inlineStr">
        <is>
          <t>Assumed mid-century uplift on AEP</t>
        </is>
      </c>
    </row>
    <row r="9">
      <c r="B9" s="46" t="inlineStr">
        <is>
          <t>Parish Total Flood EAL</t>
        </is>
      </c>
      <c r="C9" s="87">
        <f>C7+C8</f>
        <v/>
      </c>
      <c r="F9" s="46" t="inlineStr">
        <is>
          <t>Active multiplier</t>
        </is>
      </c>
      <c r="G9" s="46">
        <f>IF(G6="RCP 8.5",G8,G7)</f>
        <v/>
      </c>
    </row>
    <row r="10">
      <c r="B10" s="46" t="inlineStr">
        <is>
          <t>Parish Building Value (FEMA BUILDVALUE)</t>
        </is>
      </c>
      <c r="C10" s="86">
        <f>SUMIFS(NRI_Table_Counties!$K$2:$K$3233,NRI_Table_Counties!$F$2:$F$3233,$C$6,NRI_Table_Counties!$D$2:$D$3233,"LA")</f>
        <v/>
      </c>
    </row>
    <row r="11">
      <c r="B11" s="46" t="inlineStr">
        <is>
          <t>Plant Asset Value (from Inputs)</t>
        </is>
      </c>
      <c r="C11" s="86">
        <f>Inputs!C14</f>
        <v/>
      </c>
    </row>
    <row r="12">
      <c r="B12" s="46" t="inlineStr">
        <is>
          <t>Plant Value Share of Parish</t>
        </is>
      </c>
      <c r="C12" s="88">
        <f>C11/C10</f>
        <v/>
      </c>
    </row>
    <row r="13">
      <c r="B13" s="46" t="inlineStr">
        <is>
          <t>Plant Baseline FEMA Flood EAL</t>
        </is>
      </c>
      <c r="C13" s="89">
        <f>C9*C12</f>
        <v/>
      </c>
    </row>
    <row r="16">
      <c r="B16" s="21" t="inlineStr">
        <is>
          <t>C. Return-Period Hazard Table</t>
        </is>
      </c>
      <c r="C16" s="33" t="n"/>
      <c r="D16" s="33" t="n"/>
      <c r="E16" s="33" t="n"/>
      <c r="F16" s="33" t="n"/>
      <c r="G16" s="33" t="n"/>
      <c r="H16" s="33" t="n"/>
    </row>
    <row r="17" ht="34" customHeight="1">
      <c r="B17" s="62" t="inlineStr">
        <is>
          <t>Return Period (yr)</t>
        </is>
      </c>
      <c r="C17" s="62" t="inlineStr">
        <is>
          <t>Annual Exceedance Prob.</t>
        </is>
      </c>
      <c r="D17" s="62" t="inlineStr">
        <is>
          <t>Assumed Depth (ft)</t>
        </is>
      </c>
      <c r="E17" s="62" t="inlineStr">
        <is>
          <t>Damage % (interp.)</t>
        </is>
      </c>
      <c r="F17" s="62" t="inlineStr">
        <is>
          <t>Loss per Event (raw)</t>
        </is>
      </c>
      <c r="G17" s="62" t="inlineStr">
        <is>
          <t>EAL Contribution (raw)</t>
        </is>
      </c>
      <c r="H17" s="62" t="inlineStr">
        <is>
          <t>Prob. Mass (band)</t>
        </is>
      </c>
    </row>
    <row r="18">
      <c r="B18" t="n">
        <v>10</v>
      </c>
      <c r="C18" s="90" t="n">
        <v>0.1</v>
      </c>
      <c r="D18" s="91" t="n">
        <v>0.5</v>
      </c>
      <c r="E18" s="90">
        <f>_xlfn.FORECAST.LINEAR(D18,OFFSET('Depth-Damage'!$B$3,FLOOR(D18,1),0,2,1),OFFSET('Depth-Damage'!$A$3,FLOOR(D18,1),0,2,1))/100</f>
        <v/>
      </c>
      <c r="F18" s="92">
        <f>$C$11*E18</f>
        <v/>
      </c>
      <c r="G18" s="92">
        <f>F18*H18</f>
        <v/>
      </c>
      <c r="H18" s="11">
        <f>C18-C19</f>
        <v/>
      </c>
    </row>
    <row r="19">
      <c r="B19" t="n">
        <v>25</v>
      </c>
      <c r="C19" s="90" t="n">
        <v>0.04</v>
      </c>
      <c r="D19" s="91" t="n">
        <v>1</v>
      </c>
      <c r="E19" s="90">
        <f>_xlfn.FORECAST.LINEAR(D19,OFFSET('Depth-Damage'!$B$3,FLOOR(D19,1),0,2,1),OFFSET('Depth-Damage'!$A$3,FLOOR(D19,1),0,2,1))/100</f>
        <v/>
      </c>
      <c r="F19" s="92">
        <f>$C$11*E19</f>
        <v/>
      </c>
      <c r="G19" s="92">
        <f>F19*H19</f>
        <v/>
      </c>
      <c r="H19" s="11">
        <f>C19-C20</f>
        <v/>
      </c>
    </row>
    <row r="20">
      <c r="B20" t="n">
        <v>50</v>
      </c>
      <c r="C20" s="90" t="n">
        <v>0.02</v>
      </c>
      <c r="D20" s="91" t="n">
        <v>2</v>
      </c>
      <c r="E20" s="90">
        <f>_xlfn.FORECAST.LINEAR(D20,OFFSET('Depth-Damage'!$B$3,FLOOR(D20,1),0,2,1),OFFSET('Depth-Damage'!$A$3,FLOOR(D20,1),0,2,1))/100</f>
        <v/>
      </c>
      <c r="F20" s="92">
        <f>$C$11*E20</f>
        <v/>
      </c>
      <c r="G20" s="92">
        <f>F20*H20</f>
        <v/>
      </c>
      <c r="H20" s="11">
        <f>C20-C21</f>
        <v/>
      </c>
    </row>
    <row r="21">
      <c r="B21" t="n">
        <v>100</v>
      </c>
      <c r="C21" s="90" t="n">
        <v>0.01</v>
      </c>
      <c r="D21" s="91" t="n">
        <v>3</v>
      </c>
      <c r="E21" s="90">
        <f>_xlfn.FORECAST.LINEAR(D21,OFFSET('Depth-Damage'!$B$3,FLOOR(D21,1),0,2,1),OFFSET('Depth-Damage'!$A$3,FLOOR(D21,1),0,2,1))/100</f>
        <v/>
      </c>
      <c r="F21" s="92">
        <f>$C$11*E21</f>
        <v/>
      </c>
      <c r="G21" s="92">
        <f>F21*H21</f>
        <v/>
      </c>
      <c r="H21" s="11">
        <f>C21-C22</f>
        <v/>
      </c>
    </row>
    <row r="22">
      <c r="B22" t="n">
        <v>200</v>
      </c>
      <c r="C22" s="90" t="n">
        <v>0.005</v>
      </c>
      <c r="D22" s="91" t="n">
        <v>4</v>
      </c>
      <c r="E22" s="90">
        <f>_xlfn.FORECAST.LINEAR(D22,OFFSET('Depth-Damage'!$B$3,FLOOR(D22,1),0,2,1),OFFSET('Depth-Damage'!$A$3,FLOOR(D22,1),0,2,1))/100</f>
        <v/>
      </c>
      <c r="F22" s="92">
        <f>$C$11*E22</f>
        <v/>
      </c>
      <c r="G22" s="92">
        <f>F22*H22</f>
        <v/>
      </c>
      <c r="H22" s="11">
        <f>C22-C23</f>
        <v/>
      </c>
    </row>
    <row r="23">
      <c r="B23" t="n">
        <v>500</v>
      </c>
      <c r="C23" s="90" t="n">
        <v>0.002</v>
      </c>
      <c r="D23" s="91" t="n">
        <v>6</v>
      </c>
      <c r="E23" s="90">
        <f>_xlfn.FORECAST.LINEAR(D23,OFFSET('Depth-Damage'!$B$3,FLOOR(D23,1),0,2,1),OFFSET('Depth-Damage'!$A$3,FLOOR(D23,1),0,2,1))/100</f>
        <v/>
      </c>
      <c r="F23" s="92">
        <f>$C$11*E23</f>
        <v/>
      </c>
      <c r="G23" s="92">
        <f>F23*H23</f>
        <v/>
      </c>
      <c r="H23" s="11">
        <f>C23</f>
        <v/>
      </c>
    </row>
    <row r="24">
      <c r="B24" s="46" t="inlineStr">
        <is>
          <t>Raw Base EAL (sum)</t>
        </is>
      </c>
      <c r="G24" s="93">
        <f>SUM(G18:G23)</f>
        <v/>
      </c>
    </row>
    <row r="26">
      <c r="B26" s="21" t="inlineStr">
        <is>
          <t>D. Calibrated EAL Results (RCP 4.5 vs RCP 8.5)</t>
        </is>
      </c>
      <c r="C26" s="33" t="n"/>
      <c r="D26" s="33" t="n"/>
    </row>
    <row r="27">
      <c r="B27" s="61" t="inlineStr">
        <is>
          <t>Metric</t>
        </is>
      </c>
      <c r="C27" s="61" t="inlineStr">
        <is>
          <t>RCP 4.5</t>
        </is>
      </c>
      <c r="D27" s="61" t="inlineStr">
        <is>
          <t>RCP 8.5</t>
        </is>
      </c>
    </row>
    <row r="28">
      <c r="B28" s="46" t="inlineStr">
        <is>
          <t>Calibration Factor (to FEMA anchor)</t>
        </is>
      </c>
      <c r="C28" s="94">
        <f>$C$13/$G$24</f>
        <v/>
      </c>
      <c r="D28" s="94">
        <f>$C$13/$G$24</f>
        <v/>
      </c>
    </row>
    <row r="29">
      <c r="B29" s="46" t="inlineStr">
        <is>
          <t>Calibrated Base EAL</t>
        </is>
      </c>
      <c r="C29" s="92">
        <f>$G$24*C28</f>
        <v/>
      </c>
      <c r="D29" s="92">
        <f>$G$24*D28</f>
        <v/>
      </c>
    </row>
    <row r="30">
      <c r="B30" s="46" t="inlineStr">
        <is>
          <t>Climate Frequency Multiplier</t>
        </is>
      </c>
      <c r="C30" s="95">
        <f>$G$7</f>
        <v/>
      </c>
      <c r="D30" s="95">
        <f>$G$8</f>
        <v/>
      </c>
    </row>
    <row r="31">
      <c r="B31" s="46" t="inlineStr">
        <is>
          <t>Climate-Adjusted EAL ($/yr)</t>
        </is>
      </c>
      <c r="C31" s="96">
        <f>C29*C30</f>
        <v/>
      </c>
      <c r="D31" s="96">
        <f>D29*D30</f>
        <v/>
      </c>
    </row>
    <row r="32">
      <c r="B32" s="46" t="inlineStr">
        <is>
          <t>EAL as % of Asset Value</t>
        </is>
      </c>
      <c r="C32" s="97">
        <f>C31/$C$11</f>
        <v/>
      </c>
      <c r="D32" s="97">
        <f>D31/$C$11</f>
        <v/>
      </c>
    </row>
    <row r="34">
      <c r="B34" s="46" t="inlineStr">
        <is>
          <t>Method notes</t>
        </is>
      </c>
    </row>
    <row r="35" ht="56" customHeight="1">
      <c r="B35" s="71" t="inlineStr">
        <is>
          <t>1. Plant baseline EAL = FEMA parish flood EAL (coastal + riverine) scaled by plant value share of parish building stock. Assumes plant risk-per-dollar approximates parish average.</t>
        </is>
      </c>
    </row>
    <row r="36" ht="42" customHeight="1">
      <c r="B36" s="71" t="inlineStr">
        <is>
          <t>2. Depth-damage uses the USACE curve on the Depth-Damage tab; damage % linearly interpolated for fractional depths.</t>
        </is>
      </c>
    </row>
    <row r="37" ht="42" customHeight="1">
      <c r="B37" s="71" t="inlineStr">
        <is>
          <t>3. Assumed flood depths per return period (blue) are not site-derived. Replace with FEMA flood-map / BFE data per site to remove this assumption.</t>
        </is>
      </c>
    </row>
    <row r="38" ht="84" customHeight="1">
      <c r="B38" s="71" t="inlineStr">
        <is>
          <t>4. Raw depth-damage EAL is calibrated to the FEMA anchor via a single scaling factor, then amplified by an assumed climate frequency multiplier. Applying one multiplier to AEP is a simplification; real projections shift frequency and depth non-uniformly.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K10006"/>
  <sheetViews>
    <sheetView workbookViewId="0">
      <selection activeCell="C11" sqref="C11"/>
    </sheetView>
  </sheetViews>
  <sheetFormatPr baseColWidth="10" defaultRowHeight="16"/>
  <cols>
    <col width="2.6640625" customWidth="1" min="1" max="1"/>
    <col width="38.33203125" customWidth="1" min="2" max="2"/>
    <col width="21.6640625" customWidth="1" min="3" max="3"/>
    <col width="40" customWidth="1" min="4" max="4"/>
    <col width="11.6640625" customWidth="1" min="6" max="6"/>
    <col width="23.33203125" customWidth="1" min="7" max="7"/>
  </cols>
  <sheetData>
    <row r="2" ht="22" customHeight="1">
      <c r="B2" s="31" t="inlineStr">
        <is>
          <t>Monte Carlo Simulation</t>
        </is>
      </c>
    </row>
    <row r="3">
      <c r="B3" s="32" t="inlineStr">
        <is>
          <t>10,000 simulated years of flood loss (lognormal, calibrated to climate-adjusted EAL)</t>
        </is>
      </c>
    </row>
    <row r="5">
      <c r="B5" s="21" t="inlineStr">
        <is>
          <t>A. Simulation Drivers</t>
        </is>
      </c>
      <c r="C5" s="33" t="n"/>
      <c r="D5" s="33" t="n"/>
      <c r="F5" s="21" t="inlineStr">
        <is>
          <t>B. Simulated Annual Loss (10,000 draws)</t>
        </is>
      </c>
      <c r="G5" s="33" t="n"/>
      <c r="I5" s="21" t="inlineStr">
        <is>
          <t>D. Loss Distribution (histogram bins)</t>
        </is>
      </c>
      <c r="J5" s="33" t="n"/>
      <c r="K5" s="33" t="n"/>
    </row>
    <row r="6">
      <c r="B6" s="46" t="inlineStr">
        <is>
          <t>Active RCP Scenario (from Inputs)</t>
        </is>
      </c>
      <c r="C6" s="35">
        <f>Inputs!C12</f>
        <v/>
      </c>
      <c r="F6" s="61" t="inlineStr">
        <is>
          <t>Sim #</t>
        </is>
      </c>
      <c r="G6" s="61" t="inlineStr">
        <is>
          <t>Simulated Loss ($)</t>
        </is>
      </c>
      <c r="I6" s="61" t="inlineStr">
        <is>
          <t>Bin Upper ($)</t>
        </is>
      </c>
      <c r="J6" s="61" t="inlineStr">
        <is>
          <t>Bin Label</t>
        </is>
      </c>
      <c r="K6" s="61" t="inlineStr">
        <is>
          <t>Frequency</t>
        </is>
      </c>
    </row>
    <row r="7">
      <c r="B7" s="46" t="inlineStr">
        <is>
          <t>Target Mean EAL ($/yr)</t>
        </is>
      </c>
      <c r="C7" s="86">
        <f>IF(C6="RCP 8.5",'EAL Calculation'!D31,'EAL Calculation'!C31)</f>
        <v/>
      </c>
      <c r="D7" s="47" t="inlineStr">
        <is>
          <t>Climate-adjusted EAL for active scenario</t>
        </is>
      </c>
      <c r="F7">
        <f>1</f>
        <v/>
      </c>
      <c r="G7" s="92">
        <f>EXP($C$12+$C$8*_xlfn.NORM.S.INV(RAND()))</f>
        <v/>
      </c>
      <c r="I7" s="92">
        <f>$C$19*1/12</f>
        <v/>
      </c>
      <c r="J7">
        <f>"&lt;= "&amp;TEXT(I7,"$#,##0")</f>
        <v/>
      </c>
      <c r="K7">
        <f t="array" ref="K7:K19">FREQUENCY(G7:G10006,I7:I18)</f>
        <v/>
      </c>
    </row>
    <row r="8">
      <c r="B8" s="46" t="inlineStr">
        <is>
          <t>Volatility (sigma of underlying normal)</t>
        </is>
      </c>
      <c r="C8" s="72" t="n">
        <v>1</v>
      </c>
      <c r="D8" s="47" t="inlineStr">
        <is>
          <t>ASSUMED. Key tail driver; not site-derived</t>
        </is>
      </c>
      <c r="F8">
        <f>F7+1</f>
        <v/>
      </c>
      <c r="G8" s="92">
        <f>EXP($C$12+$C$8*_xlfn.NORM.S.INV(RAND()))</f>
        <v/>
      </c>
      <c r="I8" s="92">
        <f>$C$19*2/12</f>
        <v/>
      </c>
      <c r="J8">
        <f>"&lt;= "&amp;TEXT(I8,"$#,##0")</f>
        <v/>
      </c>
      <c r="K8">
        <f/>
        <v/>
      </c>
    </row>
    <row r="9">
      <c r="B9" s="46" t="inlineStr">
        <is>
          <t>Time Horizon (years)</t>
        </is>
      </c>
      <c r="C9" s="37" t="n">
        <v>5</v>
      </c>
      <c r="D9" s="47" t="inlineStr">
        <is>
          <t>Multiplies mean for multi-year loss</t>
        </is>
      </c>
      <c r="F9">
        <f>F8+1</f>
        <v/>
      </c>
      <c r="G9" s="92">
        <f>EXP($C$12+$C$8*_xlfn.NORM.S.INV(RAND()))</f>
        <v/>
      </c>
      <c r="I9" s="92">
        <f>$C$19*3/12</f>
        <v/>
      </c>
      <c r="J9">
        <f>"&lt;= "&amp;TEXT(I9,"$#,##0")</f>
        <v/>
      </c>
      <c r="K9">
        <f/>
        <v/>
      </c>
    </row>
    <row r="10">
      <c r="B10" s="46" t="inlineStr">
        <is>
          <t>Confidence Level (VaR / CVaR)</t>
        </is>
      </c>
      <c r="C10" s="73" t="n">
        <v>0.95</v>
      </c>
      <c r="D10" s="47" t="inlineStr">
        <is>
          <t>e.g. 0.95 = 95%</t>
        </is>
      </c>
      <c r="F10">
        <f>F9+1</f>
        <v/>
      </c>
      <c r="G10" s="92">
        <f>EXP($C$12+$C$8*_xlfn.NORM.S.INV(RAND()))</f>
        <v/>
      </c>
      <c r="I10" s="92">
        <f>$C$19*4/12</f>
        <v/>
      </c>
      <c r="J10">
        <f>"&lt;= "&amp;TEXT(I10,"$#,##0")</f>
        <v/>
      </c>
      <c r="K10">
        <f/>
        <v/>
      </c>
    </row>
    <row r="11">
      <c r="B11" s="46" t="inlineStr">
        <is>
          <t>Number of Simulations</t>
        </is>
      </c>
      <c r="C11" s="74" t="n">
        <v>10000</v>
      </c>
      <c r="D11" s="47" t="inlineStr">
        <is>
          <t>Fixed at 10,000 rows</t>
        </is>
      </c>
      <c r="F11">
        <f>F10+1</f>
        <v/>
      </c>
      <c r="G11" s="92">
        <f>EXP($C$12+$C$8*_xlfn.NORM.S.INV(RAND()))</f>
        <v/>
      </c>
      <c r="I11" s="92">
        <f>$C$19*5/12</f>
        <v/>
      </c>
      <c r="J11">
        <f>"&lt;= "&amp;TEXT(I11,"$#,##0")</f>
        <v/>
      </c>
      <c r="K11">
        <f/>
        <v/>
      </c>
    </row>
    <row r="12">
      <c r="B12" s="46" t="inlineStr">
        <is>
          <t>Derived mu (lognormal location)</t>
        </is>
      </c>
      <c r="C12" s="98">
        <f>LN(C7*C9)-(C8^2)/2</f>
        <v/>
      </c>
      <c r="D12" s="47" t="inlineStr">
        <is>
          <t>mu = LN(mean) - sigma^2/2</t>
        </is>
      </c>
      <c r="F12">
        <f>F11+1</f>
        <v/>
      </c>
      <c r="G12" s="92">
        <f>EXP($C$12+$C$8*_xlfn.NORM.S.INV(RAND()))</f>
        <v/>
      </c>
      <c r="I12" s="92">
        <f>$C$19*6/12</f>
        <v/>
      </c>
      <c r="J12">
        <f>"&lt;= "&amp;TEXT(I12,"$#,##0")</f>
        <v/>
      </c>
      <c r="K12">
        <f/>
        <v/>
      </c>
    </row>
    <row r="13">
      <c r="F13">
        <f>F12+1</f>
        <v/>
      </c>
      <c r="G13" s="92">
        <f>EXP($C$12+$C$8*_xlfn.NORM.S.INV(RAND()))</f>
        <v/>
      </c>
      <c r="I13" s="92">
        <f>$C$19*7/12</f>
        <v/>
      </c>
      <c r="J13">
        <f>"&lt;= "&amp;TEXT(I13,"$#,##0")</f>
        <v/>
      </c>
      <c r="K13">
        <f/>
        <v/>
      </c>
    </row>
    <row r="14">
      <c r="B14" s="21" t="inlineStr">
        <is>
          <t>C. Risk Statistics</t>
        </is>
      </c>
      <c r="C14" s="33" t="n"/>
      <c r="D14" s="33" t="n"/>
      <c r="F14">
        <f>F13+1</f>
        <v/>
      </c>
      <c r="G14" s="92">
        <f>EXP($C$12+$C$8*_xlfn.NORM.S.INV(RAND()))</f>
        <v/>
      </c>
      <c r="I14" s="92">
        <f>$C$19*8/12</f>
        <v/>
      </c>
      <c r="J14">
        <f>"&lt;= "&amp;TEXT(I14,"$#,##0")</f>
        <v/>
      </c>
      <c r="K14">
        <f/>
        <v/>
      </c>
    </row>
    <row r="15">
      <c r="B15" s="46" t="inlineStr">
        <is>
          <t>Simulated Mean Loss</t>
        </is>
      </c>
      <c r="C15" s="92">
        <f>AVERAGE(G7:G10006)</f>
        <v/>
      </c>
      <c r="F15">
        <f>F14+1</f>
        <v/>
      </c>
      <c r="G15" s="92">
        <f>EXP($C$12+$C$8*_xlfn.NORM.S.INV(RAND()))</f>
        <v/>
      </c>
      <c r="I15" s="92">
        <f>$C$19*9/12</f>
        <v/>
      </c>
      <c r="J15">
        <f>"&lt;= "&amp;TEXT(I15,"$#,##0")</f>
        <v/>
      </c>
      <c r="K15">
        <f/>
        <v/>
      </c>
    </row>
    <row r="16">
      <c r="B16" s="46" t="inlineStr">
        <is>
          <t>Target Mean EAL (check)</t>
        </is>
      </c>
      <c r="C16" s="92">
        <f>C7*C9</f>
        <v/>
      </c>
      <c r="F16">
        <f>F15+1</f>
        <v/>
      </c>
      <c r="G16" s="92">
        <f>EXP($C$12+$C$8*_xlfn.NORM.S.INV(RAND()))</f>
        <v/>
      </c>
      <c r="I16" s="92">
        <f>$C$19*10/12</f>
        <v/>
      </c>
      <c r="J16">
        <f>"&lt;= "&amp;TEXT(I16,"$#,##0")</f>
        <v/>
      </c>
      <c r="K16">
        <f/>
        <v/>
      </c>
    </row>
    <row r="17">
      <c r="B17" s="46" t="inlineStr">
        <is>
          <t>Std Deviation</t>
        </is>
      </c>
      <c r="C17" s="92">
        <f>_xlfn.STDEV.S(G7:G10006)</f>
        <v/>
      </c>
      <c r="F17">
        <f>F16+1</f>
        <v/>
      </c>
      <c r="G17" s="92">
        <f>EXP($C$12+$C$8*_xlfn.NORM.S.INV(RAND()))</f>
        <v/>
      </c>
      <c r="I17" s="92">
        <f>$C$19*11/12</f>
        <v/>
      </c>
      <c r="J17">
        <f>"&lt;= "&amp;TEXT(I17,"$#,##0")</f>
        <v/>
      </c>
      <c r="K17">
        <f/>
        <v/>
      </c>
    </row>
    <row r="18">
      <c r="B18" s="46" t="inlineStr">
        <is>
          <t>Minimum</t>
        </is>
      </c>
      <c r="C18" s="92">
        <f>MIN(G7:G10006)</f>
        <v/>
      </c>
      <c r="F18">
        <f>F17+1</f>
        <v/>
      </c>
      <c r="G18" s="92">
        <f>EXP($C$12+$C$8*_xlfn.NORM.S.INV(RAND()))</f>
        <v/>
      </c>
      <c r="I18" s="92">
        <f>$C$19*12/12</f>
        <v/>
      </c>
      <c r="J18">
        <f>"&lt;= "&amp;TEXT(I18,"$#,##0")</f>
        <v/>
      </c>
      <c r="K18">
        <f/>
        <v/>
      </c>
    </row>
    <row r="19">
      <c r="B19" s="46" t="inlineStr">
        <is>
          <t>Maximum</t>
        </is>
      </c>
      <c r="C19" s="92">
        <f>MAX(G7:G10006)</f>
        <v/>
      </c>
      <c r="F19">
        <f>F18+1</f>
        <v/>
      </c>
      <c r="G19" s="92">
        <f>EXP($C$12+$C$8*_xlfn.NORM.S.INV(RAND()))</f>
        <v/>
      </c>
      <c r="K19">
        <f/>
        <v/>
      </c>
    </row>
    <row r="20">
      <c r="B20" s="46" t="inlineStr">
        <is>
          <t>VaR at Confidence Level</t>
        </is>
      </c>
      <c r="C20" s="96">
        <f>_xlfn.PERCENTILE.INC(G7:G10006,$C$10)</f>
        <v/>
      </c>
      <c r="F20">
        <f>F19+1</f>
        <v/>
      </c>
      <c r="G20" s="92">
        <f>EXP($C$12+$C$8*_xlfn.NORM.S.INV(RAND()))</f>
        <v/>
      </c>
    </row>
    <row r="21">
      <c r="B21" s="46" t="inlineStr">
        <is>
          <t>CVaR (Expected Shortfall)</t>
        </is>
      </c>
      <c r="C21" s="96">
        <f>AVERAGEIF(G7:G10006,"&gt;"&amp;C20)</f>
        <v/>
      </c>
      <c r="F21">
        <f>F20+1</f>
        <v/>
      </c>
      <c r="G21" s="92">
        <f>EXP($C$12+$C$8*_xlfn.NORM.S.INV(RAND()))</f>
        <v/>
      </c>
    </row>
    <row r="22">
      <c r="B22" s="46" t="inlineStr">
        <is>
          <t>VaR as % of Asset Value</t>
        </is>
      </c>
      <c r="C22" s="97">
        <f>C20/Inputs!C14</f>
        <v/>
      </c>
      <c r="F22">
        <f>F21+1</f>
        <v/>
      </c>
      <c r="G22" s="92">
        <f>EXP($C$12+$C$8*_xlfn.NORM.S.INV(RAND()))</f>
        <v/>
      </c>
    </row>
    <row r="23">
      <c r="F23">
        <f>F22+1</f>
        <v/>
      </c>
      <c r="G23" s="92">
        <f>EXP($C$12+$C$8*_xlfn.NORM.S.INV(RAND()))</f>
        <v/>
      </c>
    </row>
    <row r="24">
      <c r="F24">
        <f>F23+1</f>
        <v/>
      </c>
      <c r="G24" s="92">
        <f>EXP($C$12+$C$8*_xlfn.NORM.S.INV(RAND()))</f>
        <v/>
      </c>
    </row>
    <row r="25">
      <c r="F25">
        <f>F24+1</f>
        <v/>
      </c>
      <c r="G25" s="92">
        <f>EXP($C$12+$C$8*_xlfn.NORM.S.INV(RAND()))</f>
        <v/>
      </c>
    </row>
    <row r="26">
      <c r="F26">
        <f>F25+1</f>
        <v/>
      </c>
      <c r="G26" s="92">
        <f>EXP($C$12+$C$8*_xlfn.NORM.S.INV(RAND()))</f>
        <v/>
      </c>
    </row>
    <row r="27">
      <c r="F27">
        <f>F26+1</f>
        <v/>
      </c>
      <c r="G27" s="92">
        <f>EXP($C$12+$C$8*_xlfn.NORM.S.INV(RAND()))</f>
        <v/>
      </c>
    </row>
    <row r="28">
      <c r="F28">
        <f>F27+1</f>
        <v/>
      </c>
      <c r="G28" s="92">
        <f>EXP($C$12+$C$8*_xlfn.NORM.S.INV(RAND()))</f>
        <v/>
      </c>
    </row>
    <row r="29">
      <c r="F29">
        <f>F28+1</f>
        <v/>
      </c>
      <c r="G29" s="92">
        <f>EXP($C$12+$C$8*_xlfn.NORM.S.INV(RAND()))</f>
        <v/>
      </c>
    </row>
    <row r="30">
      <c r="F30">
        <f>F29+1</f>
        <v/>
      </c>
      <c r="G30" s="92">
        <f>EXP($C$12+$C$8*_xlfn.NORM.S.INV(RAND()))</f>
        <v/>
      </c>
    </row>
    <row r="31">
      <c r="F31">
        <f>F30+1</f>
        <v/>
      </c>
      <c r="G31" s="92">
        <f>EXP($C$12+$C$8*_xlfn.NORM.S.INV(RAND()))</f>
        <v/>
      </c>
    </row>
    <row r="32">
      <c r="F32">
        <f>F31+1</f>
        <v/>
      </c>
      <c r="G32" s="92">
        <f>EXP($C$12+$C$8*_xlfn.NORM.S.INV(RAND()))</f>
        <v/>
      </c>
    </row>
    <row r="33">
      <c r="F33">
        <f>F32+1</f>
        <v/>
      </c>
      <c r="G33" s="92">
        <f>EXP($C$12+$C$8*_xlfn.NORM.S.INV(RAND()))</f>
        <v/>
      </c>
    </row>
    <row r="34">
      <c r="F34">
        <f>F33+1</f>
        <v/>
      </c>
      <c r="G34" s="92">
        <f>EXP($C$12+$C$8*_xlfn.NORM.S.INV(RAND()))</f>
        <v/>
      </c>
    </row>
    <row r="35">
      <c r="F35">
        <f>F34+1</f>
        <v/>
      </c>
      <c r="G35" s="92">
        <f>EXP($C$12+$C$8*_xlfn.NORM.S.INV(RAND()))</f>
        <v/>
      </c>
    </row>
    <row r="36">
      <c r="F36">
        <f>F35+1</f>
        <v/>
      </c>
      <c r="G36" s="92">
        <f>EXP($C$12+$C$8*_xlfn.NORM.S.INV(RAND()))</f>
        <v/>
      </c>
    </row>
    <row r="37">
      <c r="F37">
        <f>F36+1</f>
        <v/>
      </c>
      <c r="G37" s="92">
        <f>EXP($C$12+$C$8*_xlfn.NORM.S.INV(RAND()))</f>
        <v/>
      </c>
    </row>
    <row r="38">
      <c r="F38">
        <f>F37+1</f>
        <v/>
      </c>
      <c r="G38" s="92">
        <f>EXP($C$12+$C$8*_xlfn.NORM.S.INV(RAND()))</f>
        <v/>
      </c>
    </row>
    <row r="39">
      <c r="F39">
        <f>F38+1</f>
        <v/>
      </c>
      <c r="G39" s="92">
        <f>EXP($C$12+$C$8*_xlfn.NORM.S.INV(RAND()))</f>
        <v/>
      </c>
    </row>
    <row r="40">
      <c r="F40">
        <f>F39+1</f>
        <v/>
      </c>
      <c r="G40" s="92">
        <f>EXP($C$12+$C$8*_xlfn.NORM.S.INV(RAND()))</f>
        <v/>
      </c>
    </row>
    <row r="41">
      <c r="F41">
        <f>F40+1</f>
        <v/>
      </c>
      <c r="G41" s="92">
        <f>EXP($C$12+$C$8*_xlfn.NORM.S.INV(RAND()))</f>
        <v/>
      </c>
    </row>
    <row r="42">
      <c r="F42">
        <f>F41+1</f>
        <v/>
      </c>
      <c r="G42" s="92">
        <f>EXP($C$12+$C$8*_xlfn.NORM.S.INV(RAND()))</f>
        <v/>
      </c>
    </row>
    <row r="43">
      <c r="F43">
        <f>F42+1</f>
        <v/>
      </c>
      <c r="G43" s="92">
        <f>EXP($C$12+$C$8*_xlfn.NORM.S.INV(RAND()))</f>
        <v/>
      </c>
    </row>
    <row r="44">
      <c r="F44">
        <f>F43+1</f>
        <v/>
      </c>
      <c r="G44" s="92">
        <f>EXP($C$12+$C$8*_xlfn.NORM.S.INV(RAND()))</f>
        <v/>
      </c>
    </row>
    <row r="45">
      <c r="F45">
        <f>F44+1</f>
        <v/>
      </c>
      <c r="G45" s="92">
        <f>EXP($C$12+$C$8*_xlfn.NORM.S.INV(RAND()))</f>
        <v/>
      </c>
    </row>
    <row r="46">
      <c r="F46">
        <f>F45+1</f>
        <v/>
      </c>
      <c r="G46" s="92">
        <f>EXP($C$12+$C$8*_xlfn.NORM.S.INV(RAND()))</f>
        <v/>
      </c>
    </row>
    <row r="47">
      <c r="F47">
        <f>F46+1</f>
        <v/>
      </c>
      <c r="G47" s="92">
        <f>EXP($C$12+$C$8*_xlfn.NORM.S.INV(RAND()))</f>
        <v/>
      </c>
    </row>
    <row r="48">
      <c r="F48">
        <f>F47+1</f>
        <v/>
      </c>
      <c r="G48" s="92">
        <f>EXP($C$12+$C$8*_xlfn.NORM.S.INV(RAND()))</f>
        <v/>
      </c>
    </row>
    <row r="49">
      <c r="F49">
        <f>F48+1</f>
        <v/>
      </c>
      <c r="G49" s="92">
        <f>EXP($C$12+$C$8*_xlfn.NORM.S.INV(RAND()))</f>
        <v/>
      </c>
    </row>
    <row r="50">
      <c r="F50">
        <f>F49+1</f>
        <v/>
      </c>
      <c r="G50" s="92">
        <f>EXP($C$12+$C$8*_xlfn.NORM.S.INV(RAND()))</f>
        <v/>
      </c>
    </row>
    <row r="51">
      <c r="F51">
        <f>F50+1</f>
        <v/>
      </c>
      <c r="G51" s="92">
        <f>EXP($C$12+$C$8*_xlfn.NORM.S.INV(RAND()))</f>
        <v/>
      </c>
    </row>
    <row r="52">
      <c r="F52">
        <f>F51+1</f>
        <v/>
      </c>
      <c r="G52" s="92">
        <f>EXP($C$12+$C$8*_xlfn.NORM.S.INV(RAND()))</f>
        <v/>
      </c>
    </row>
    <row r="53">
      <c r="F53">
        <f>F52+1</f>
        <v/>
      </c>
      <c r="G53" s="92">
        <f>EXP($C$12+$C$8*_xlfn.NORM.S.INV(RAND()))</f>
        <v/>
      </c>
    </row>
    <row r="54">
      <c r="F54">
        <f>F53+1</f>
        <v/>
      </c>
      <c r="G54" s="92">
        <f>EXP($C$12+$C$8*_xlfn.NORM.S.INV(RAND()))</f>
        <v/>
      </c>
    </row>
    <row r="55">
      <c r="F55">
        <f>F54+1</f>
        <v/>
      </c>
      <c r="G55" s="92">
        <f>EXP($C$12+$C$8*_xlfn.NORM.S.INV(RAND()))</f>
        <v/>
      </c>
    </row>
    <row r="56">
      <c r="F56">
        <f>F55+1</f>
        <v/>
      </c>
      <c r="G56" s="92">
        <f>EXP($C$12+$C$8*_xlfn.NORM.S.INV(RAND()))</f>
        <v/>
      </c>
    </row>
    <row r="57">
      <c r="F57">
        <f>F56+1</f>
        <v/>
      </c>
      <c r="G57" s="92">
        <f>EXP($C$12+$C$8*_xlfn.NORM.S.INV(RAND()))</f>
        <v/>
      </c>
    </row>
    <row r="58">
      <c r="F58">
        <f>F57+1</f>
        <v/>
      </c>
      <c r="G58" s="92">
        <f>EXP($C$12+$C$8*_xlfn.NORM.S.INV(RAND()))</f>
        <v/>
      </c>
    </row>
    <row r="59">
      <c r="F59">
        <f>F58+1</f>
        <v/>
      </c>
      <c r="G59" s="92">
        <f>EXP($C$12+$C$8*_xlfn.NORM.S.INV(RAND()))</f>
        <v/>
      </c>
    </row>
    <row r="60">
      <c r="F60">
        <f>F59+1</f>
        <v/>
      </c>
      <c r="G60" s="92">
        <f>EXP($C$12+$C$8*_xlfn.NORM.S.INV(RAND()))</f>
        <v/>
      </c>
    </row>
    <row r="61">
      <c r="F61">
        <f>F60+1</f>
        <v/>
      </c>
      <c r="G61" s="92">
        <f>EXP($C$12+$C$8*_xlfn.NORM.S.INV(RAND()))</f>
        <v/>
      </c>
    </row>
    <row r="62">
      <c r="F62">
        <f>F61+1</f>
        <v/>
      </c>
      <c r="G62" s="92">
        <f>EXP($C$12+$C$8*_xlfn.NORM.S.INV(RAND()))</f>
        <v/>
      </c>
    </row>
    <row r="63">
      <c r="F63">
        <f>F62+1</f>
        <v/>
      </c>
      <c r="G63" s="92">
        <f>EXP($C$12+$C$8*_xlfn.NORM.S.INV(RAND()))</f>
        <v/>
      </c>
    </row>
    <row r="64">
      <c r="F64">
        <f>F63+1</f>
        <v/>
      </c>
      <c r="G64" s="92">
        <f>EXP($C$12+$C$8*_xlfn.NORM.S.INV(RAND()))</f>
        <v/>
      </c>
    </row>
    <row r="65">
      <c r="F65">
        <f>F64+1</f>
        <v/>
      </c>
      <c r="G65" s="92">
        <f>EXP($C$12+$C$8*_xlfn.NORM.S.INV(RAND()))</f>
        <v/>
      </c>
    </row>
    <row r="66">
      <c r="F66">
        <f>F65+1</f>
        <v/>
      </c>
      <c r="G66" s="92">
        <f>EXP($C$12+$C$8*_xlfn.NORM.S.INV(RAND()))</f>
        <v/>
      </c>
    </row>
    <row r="67">
      <c r="F67">
        <f>F66+1</f>
        <v/>
      </c>
      <c r="G67" s="92">
        <f>EXP($C$12+$C$8*_xlfn.NORM.S.INV(RAND()))</f>
        <v/>
      </c>
    </row>
    <row r="68">
      <c r="F68">
        <f>F67+1</f>
        <v/>
      </c>
      <c r="G68" s="92">
        <f>EXP($C$12+$C$8*_xlfn.NORM.S.INV(RAND()))</f>
        <v/>
      </c>
    </row>
    <row r="69">
      <c r="F69">
        <f>F68+1</f>
        <v/>
      </c>
      <c r="G69" s="92">
        <f>EXP($C$12+$C$8*_xlfn.NORM.S.INV(RAND()))</f>
        <v/>
      </c>
    </row>
    <row r="70">
      <c r="F70">
        <f>F69+1</f>
        <v/>
      </c>
      <c r="G70" s="92">
        <f>EXP($C$12+$C$8*_xlfn.NORM.S.INV(RAND()))</f>
        <v/>
      </c>
    </row>
    <row r="71">
      <c r="F71">
        <f>F70+1</f>
        <v/>
      </c>
      <c r="G71" s="92">
        <f>EXP($C$12+$C$8*_xlfn.NORM.S.INV(RAND()))</f>
        <v/>
      </c>
    </row>
    <row r="72">
      <c r="F72">
        <f>F71+1</f>
        <v/>
      </c>
      <c r="G72" s="92">
        <f>EXP($C$12+$C$8*_xlfn.NORM.S.INV(RAND()))</f>
        <v/>
      </c>
    </row>
    <row r="73">
      <c r="F73">
        <f>F72+1</f>
        <v/>
      </c>
      <c r="G73" s="92">
        <f>EXP($C$12+$C$8*_xlfn.NORM.S.INV(RAND()))</f>
        <v/>
      </c>
    </row>
    <row r="74">
      <c r="F74">
        <f>F73+1</f>
        <v/>
      </c>
      <c r="G74" s="92">
        <f>EXP($C$12+$C$8*_xlfn.NORM.S.INV(RAND()))</f>
        <v/>
      </c>
    </row>
    <row r="75">
      <c r="F75">
        <f>F74+1</f>
        <v/>
      </c>
      <c r="G75" s="92">
        <f>EXP($C$12+$C$8*_xlfn.NORM.S.INV(RAND()))</f>
        <v/>
      </c>
    </row>
    <row r="76">
      <c r="F76">
        <f>F75+1</f>
        <v/>
      </c>
      <c r="G76" s="92">
        <f>EXP($C$12+$C$8*_xlfn.NORM.S.INV(RAND()))</f>
        <v/>
      </c>
    </row>
    <row r="77">
      <c r="F77">
        <f>F76+1</f>
        <v/>
      </c>
      <c r="G77" s="92">
        <f>EXP($C$12+$C$8*_xlfn.NORM.S.INV(RAND()))</f>
        <v/>
      </c>
    </row>
    <row r="78">
      <c r="F78">
        <f>F77+1</f>
        <v/>
      </c>
      <c r="G78" s="92">
        <f>EXP($C$12+$C$8*_xlfn.NORM.S.INV(RAND()))</f>
        <v/>
      </c>
    </row>
    <row r="79">
      <c r="F79">
        <f>F78+1</f>
        <v/>
      </c>
      <c r="G79" s="92">
        <f>EXP($C$12+$C$8*_xlfn.NORM.S.INV(RAND()))</f>
        <v/>
      </c>
    </row>
    <row r="80">
      <c r="F80">
        <f>F79+1</f>
        <v/>
      </c>
      <c r="G80" s="92">
        <f>EXP($C$12+$C$8*_xlfn.NORM.S.INV(RAND()))</f>
        <v/>
      </c>
    </row>
    <row r="81">
      <c r="F81">
        <f>F80+1</f>
        <v/>
      </c>
      <c r="G81" s="92">
        <f>EXP($C$12+$C$8*_xlfn.NORM.S.INV(RAND()))</f>
        <v/>
      </c>
    </row>
    <row r="82">
      <c r="F82">
        <f>F81+1</f>
        <v/>
      </c>
      <c r="G82" s="92">
        <f>EXP($C$12+$C$8*_xlfn.NORM.S.INV(RAND()))</f>
        <v/>
      </c>
    </row>
    <row r="83">
      <c r="F83">
        <f>F82+1</f>
        <v/>
      </c>
      <c r="G83" s="92">
        <f>EXP($C$12+$C$8*_xlfn.NORM.S.INV(RAND()))</f>
        <v/>
      </c>
    </row>
    <row r="84">
      <c r="F84">
        <f>F83+1</f>
        <v/>
      </c>
      <c r="G84" s="92">
        <f>EXP($C$12+$C$8*_xlfn.NORM.S.INV(RAND()))</f>
        <v/>
      </c>
    </row>
    <row r="85">
      <c r="F85">
        <f>F84+1</f>
        <v/>
      </c>
      <c r="G85" s="92">
        <f>EXP($C$12+$C$8*_xlfn.NORM.S.INV(RAND()))</f>
        <v/>
      </c>
    </row>
    <row r="86">
      <c r="F86">
        <f>F85+1</f>
        <v/>
      </c>
      <c r="G86" s="92">
        <f>EXP($C$12+$C$8*_xlfn.NORM.S.INV(RAND()))</f>
        <v/>
      </c>
    </row>
    <row r="87">
      <c r="F87">
        <f>F86+1</f>
        <v/>
      </c>
      <c r="G87" s="92">
        <f>EXP($C$12+$C$8*_xlfn.NORM.S.INV(RAND()))</f>
        <v/>
      </c>
    </row>
    <row r="88">
      <c r="F88">
        <f>F87+1</f>
        <v/>
      </c>
      <c r="G88" s="92">
        <f>EXP($C$12+$C$8*_xlfn.NORM.S.INV(RAND()))</f>
        <v/>
      </c>
    </row>
    <row r="89">
      <c r="F89">
        <f>F88+1</f>
        <v/>
      </c>
      <c r="G89" s="92">
        <f>EXP($C$12+$C$8*_xlfn.NORM.S.INV(RAND()))</f>
        <v/>
      </c>
    </row>
    <row r="90">
      <c r="F90">
        <f>F89+1</f>
        <v/>
      </c>
      <c r="G90" s="92">
        <f>EXP($C$12+$C$8*_xlfn.NORM.S.INV(RAND()))</f>
        <v/>
      </c>
    </row>
    <row r="91">
      <c r="F91">
        <f>F90+1</f>
        <v/>
      </c>
      <c r="G91" s="92">
        <f>EXP($C$12+$C$8*_xlfn.NORM.S.INV(RAND()))</f>
        <v/>
      </c>
    </row>
    <row r="92">
      <c r="F92">
        <f>F91+1</f>
        <v/>
      </c>
      <c r="G92" s="92">
        <f>EXP($C$12+$C$8*_xlfn.NORM.S.INV(RAND()))</f>
        <v/>
      </c>
    </row>
    <row r="93">
      <c r="F93">
        <f>F92+1</f>
        <v/>
      </c>
      <c r="G93" s="92">
        <f>EXP($C$12+$C$8*_xlfn.NORM.S.INV(RAND()))</f>
        <v/>
      </c>
    </row>
    <row r="94">
      <c r="F94">
        <f>F93+1</f>
        <v/>
      </c>
      <c r="G94" s="92">
        <f>EXP($C$12+$C$8*_xlfn.NORM.S.INV(RAND()))</f>
        <v/>
      </c>
    </row>
    <row r="95">
      <c r="F95">
        <f>F94+1</f>
        <v/>
      </c>
      <c r="G95" s="92">
        <f>EXP($C$12+$C$8*_xlfn.NORM.S.INV(RAND()))</f>
        <v/>
      </c>
    </row>
    <row r="96">
      <c r="F96">
        <f>F95+1</f>
        <v/>
      </c>
      <c r="G96" s="92">
        <f>EXP($C$12+$C$8*_xlfn.NORM.S.INV(RAND()))</f>
        <v/>
      </c>
    </row>
    <row r="97">
      <c r="F97">
        <f>F96+1</f>
        <v/>
      </c>
      <c r="G97" s="92">
        <f>EXP($C$12+$C$8*_xlfn.NORM.S.INV(RAND()))</f>
        <v/>
      </c>
    </row>
    <row r="98">
      <c r="F98">
        <f>F97+1</f>
        <v/>
      </c>
      <c r="G98" s="92">
        <f>EXP($C$12+$C$8*_xlfn.NORM.S.INV(RAND()))</f>
        <v/>
      </c>
    </row>
    <row r="99">
      <c r="F99">
        <f>F98+1</f>
        <v/>
      </c>
      <c r="G99" s="92">
        <f>EXP($C$12+$C$8*_xlfn.NORM.S.INV(RAND()))</f>
        <v/>
      </c>
    </row>
    <row r="100">
      <c r="F100">
        <f>F99+1</f>
        <v/>
      </c>
      <c r="G100" s="92">
        <f>EXP($C$12+$C$8*_xlfn.NORM.S.INV(RAND()))</f>
        <v/>
      </c>
    </row>
    <row r="101">
      <c r="F101">
        <f>F100+1</f>
        <v/>
      </c>
      <c r="G101" s="92">
        <f>EXP($C$12+$C$8*_xlfn.NORM.S.INV(RAND()))</f>
        <v/>
      </c>
    </row>
    <row r="102">
      <c r="F102">
        <f>F101+1</f>
        <v/>
      </c>
      <c r="G102" s="92">
        <f>EXP($C$12+$C$8*_xlfn.NORM.S.INV(RAND()))</f>
        <v/>
      </c>
    </row>
    <row r="103">
      <c r="F103">
        <f>F102+1</f>
        <v/>
      </c>
      <c r="G103" s="92">
        <f>EXP($C$12+$C$8*_xlfn.NORM.S.INV(RAND()))</f>
        <v/>
      </c>
    </row>
    <row r="104">
      <c r="F104">
        <f>F103+1</f>
        <v/>
      </c>
      <c r="G104" s="92">
        <f>EXP($C$12+$C$8*_xlfn.NORM.S.INV(RAND()))</f>
        <v/>
      </c>
    </row>
    <row r="105">
      <c r="F105">
        <f>F104+1</f>
        <v/>
      </c>
      <c r="G105" s="92">
        <f>EXP($C$12+$C$8*_xlfn.NORM.S.INV(RAND()))</f>
        <v/>
      </c>
    </row>
    <row r="106">
      <c r="F106">
        <f>F105+1</f>
        <v/>
      </c>
      <c r="G106" s="92">
        <f>EXP($C$12+$C$8*_xlfn.NORM.S.INV(RAND()))</f>
        <v/>
      </c>
    </row>
    <row r="107">
      <c r="F107">
        <f>F106+1</f>
        <v/>
      </c>
      <c r="G107" s="92">
        <f>EXP($C$12+$C$8*_xlfn.NORM.S.INV(RAND()))</f>
        <v/>
      </c>
    </row>
    <row r="108">
      <c r="F108">
        <f>F107+1</f>
        <v/>
      </c>
      <c r="G108" s="92">
        <f>EXP($C$12+$C$8*_xlfn.NORM.S.INV(RAND()))</f>
        <v/>
      </c>
    </row>
    <row r="109">
      <c r="F109">
        <f>F108+1</f>
        <v/>
      </c>
      <c r="G109" s="92">
        <f>EXP($C$12+$C$8*_xlfn.NORM.S.INV(RAND()))</f>
        <v/>
      </c>
    </row>
    <row r="110">
      <c r="F110">
        <f>F109+1</f>
        <v/>
      </c>
      <c r="G110" s="92">
        <f>EXP($C$12+$C$8*_xlfn.NORM.S.INV(RAND()))</f>
        <v/>
      </c>
    </row>
    <row r="111">
      <c r="F111">
        <f>F110+1</f>
        <v/>
      </c>
      <c r="G111" s="92">
        <f>EXP($C$12+$C$8*_xlfn.NORM.S.INV(RAND()))</f>
        <v/>
      </c>
    </row>
    <row r="112">
      <c r="F112">
        <f>F111+1</f>
        <v/>
      </c>
      <c r="G112" s="92">
        <f>EXP($C$12+$C$8*_xlfn.NORM.S.INV(RAND()))</f>
        <v/>
      </c>
    </row>
    <row r="113">
      <c r="F113">
        <f>F112+1</f>
        <v/>
      </c>
      <c r="G113" s="92">
        <f>EXP($C$12+$C$8*_xlfn.NORM.S.INV(RAND()))</f>
        <v/>
      </c>
    </row>
    <row r="114">
      <c r="F114">
        <f>F113+1</f>
        <v/>
      </c>
      <c r="G114" s="92">
        <f>EXP($C$12+$C$8*_xlfn.NORM.S.INV(RAND()))</f>
        <v/>
      </c>
    </row>
    <row r="115">
      <c r="F115">
        <f>F114+1</f>
        <v/>
      </c>
      <c r="G115" s="92">
        <f>EXP($C$12+$C$8*_xlfn.NORM.S.INV(RAND()))</f>
        <v/>
      </c>
    </row>
    <row r="116">
      <c r="F116">
        <f>F115+1</f>
        <v/>
      </c>
      <c r="G116" s="92">
        <f>EXP($C$12+$C$8*_xlfn.NORM.S.INV(RAND()))</f>
        <v/>
      </c>
    </row>
    <row r="117">
      <c r="F117">
        <f>F116+1</f>
        <v/>
      </c>
      <c r="G117" s="92">
        <f>EXP($C$12+$C$8*_xlfn.NORM.S.INV(RAND()))</f>
        <v/>
      </c>
    </row>
    <row r="118">
      <c r="F118">
        <f>F117+1</f>
        <v/>
      </c>
      <c r="G118" s="92">
        <f>EXP($C$12+$C$8*_xlfn.NORM.S.INV(RAND()))</f>
        <v/>
      </c>
    </row>
    <row r="119">
      <c r="F119">
        <f>F118+1</f>
        <v/>
      </c>
      <c r="G119" s="92">
        <f>EXP($C$12+$C$8*_xlfn.NORM.S.INV(RAND()))</f>
        <v/>
      </c>
    </row>
    <row r="120">
      <c r="F120">
        <f>F119+1</f>
        <v/>
      </c>
      <c r="G120" s="92">
        <f>EXP($C$12+$C$8*_xlfn.NORM.S.INV(RAND()))</f>
        <v/>
      </c>
    </row>
    <row r="121">
      <c r="F121">
        <f>F120+1</f>
        <v/>
      </c>
      <c r="G121" s="92">
        <f>EXP($C$12+$C$8*_xlfn.NORM.S.INV(RAND()))</f>
        <v/>
      </c>
    </row>
    <row r="122">
      <c r="F122">
        <f>F121+1</f>
        <v/>
      </c>
      <c r="G122" s="92">
        <f>EXP($C$12+$C$8*_xlfn.NORM.S.INV(RAND()))</f>
        <v/>
      </c>
    </row>
    <row r="123">
      <c r="F123">
        <f>F122+1</f>
        <v/>
      </c>
      <c r="G123" s="92">
        <f>EXP($C$12+$C$8*_xlfn.NORM.S.INV(RAND()))</f>
        <v/>
      </c>
    </row>
    <row r="124">
      <c r="F124">
        <f>F123+1</f>
        <v/>
      </c>
      <c r="G124" s="92">
        <f>EXP($C$12+$C$8*_xlfn.NORM.S.INV(RAND()))</f>
        <v/>
      </c>
    </row>
    <row r="125">
      <c r="F125">
        <f>F124+1</f>
        <v/>
      </c>
      <c r="G125" s="92">
        <f>EXP($C$12+$C$8*_xlfn.NORM.S.INV(RAND()))</f>
        <v/>
      </c>
    </row>
    <row r="126">
      <c r="F126">
        <f>F125+1</f>
        <v/>
      </c>
      <c r="G126" s="92">
        <f>EXP($C$12+$C$8*_xlfn.NORM.S.INV(RAND()))</f>
        <v/>
      </c>
    </row>
    <row r="127">
      <c r="F127">
        <f>F126+1</f>
        <v/>
      </c>
      <c r="G127" s="92">
        <f>EXP($C$12+$C$8*_xlfn.NORM.S.INV(RAND()))</f>
        <v/>
      </c>
    </row>
    <row r="128">
      <c r="F128">
        <f>F127+1</f>
        <v/>
      </c>
      <c r="G128" s="92">
        <f>EXP($C$12+$C$8*_xlfn.NORM.S.INV(RAND()))</f>
        <v/>
      </c>
    </row>
    <row r="129">
      <c r="F129">
        <f>F128+1</f>
        <v/>
      </c>
      <c r="G129" s="92">
        <f>EXP($C$12+$C$8*_xlfn.NORM.S.INV(RAND()))</f>
        <v/>
      </c>
    </row>
    <row r="130">
      <c r="F130">
        <f>F129+1</f>
        <v/>
      </c>
      <c r="G130" s="92">
        <f>EXP($C$12+$C$8*_xlfn.NORM.S.INV(RAND()))</f>
        <v/>
      </c>
    </row>
    <row r="131">
      <c r="F131">
        <f>F130+1</f>
        <v/>
      </c>
      <c r="G131" s="92">
        <f>EXP($C$12+$C$8*_xlfn.NORM.S.INV(RAND()))</f>
        <v/>
      </c>
    </row>
    <row r="132">
      <c r="F132">
        <f>F131+1</f>
        <v/>
      </c>
      <c r="G132" s="92">
        <f>EXP($C$12+$C$8*_xlfn.NORM.S.INV(RAND()))</f>
        <v/>
      </c>
    </row>
    <row r="133">
      <c r="F133">
        <f>F132+1</f>
        <v/>
      </c>
      <c r="G133" s="92">
        <f>EXP($C$12+$C$8*_xlfn.NORM.S.INV(RAND()))</f>
        <v/>
      </c>
    </row>
    <row r="134">
      <c r="F134">
        <f>F133+1</f>
        <v/>
      </c>
      <c r="G134" s="92">
        <f>EXP($C$12+$C$8*_xlfn.NORM.S.INV(RAND()))</f>
        <v/>
      </c>
    </row>
    <row r="135">
      <c r="F135">
        <f>F134+1</f>
        <v/>
      </c>
      <c r="G135" s="92">
        <f>EXP($C$12+$C$8*_xlfn.NORM.S.INV(RAND()))</f>
        <v/>
      </c>
    </row>
    <row r="136">
      <c r="F136">
        <f>F135+1</f>
        <v/>
      </c>
      <c r="G136" s="92">
        <f>EXP($C$12+$C$8*_xlfn.NORM.S.INV(RAND()))</f>
        <v/>
      </c>
    </row>
    <row r="137">
      <c r="F137">
        <f>F136+1</f>
        <v/>
      </c>
      <c r="G137" s="92">
        <f>EXP($C$12+$C$8*_xlfn.NORM.S.INV(RAND()))</f>
        <v/>
      </c>
    </row>
    <row r="138">
      <c r="F138">
        <f>F137+1</f>
        <v/>
      </c>
      <c r="G138" s="92">
        <f>EXP($C$12+$C$8*_xlfn.NORM.S.INV(RAND()))</f>
        <v/>
      </c>
    </row>
    <row r="139">
      <c r="F139">
        <f>F138+1</f>
        <v/>
      </c>
      <c r="G139" s="92">
        <f>EXP($C$12+$C$8*_xlfn.NORM.S.INV(RAND()))</f>
        <v/>
      </c>
    </row>
    <row r="140">
      <c r="F140">
        <f>F139+1</f>
        <v/>
      </c>
      <c r="G140" s="92">
        <f>EXP($C$12+$C$8*_xlfn.NORM.S.INV(RAND()))</f>
        <v/>
      </c>
    </row>
    <row r="141">
      <c r="F141">
        <f>F140+1</f>
        <v/>
      </c>
      <c r="G141" s="92">
        <f>EXP($C$12+$C$8*_xlfn.NORM.S.INV(RAND()))</f>
        <v/>
      </c>
    </row>
    <row r="142">
      <c r="F142">
        <f>F141+1</f>
        <v/>
      </c>
      <c r="G142" s="92">
        <f>EXP($C$12+$C$8*_xlfn.NORM.S.INV(RAND()))</f>
        <v/>
      </c>
    </row>
    <row r="143">
      <c r="F143">
        <f>F142+1</f>
        <v/>
      </c>
      <c r="G143" s="92">
        <f>EXP($C$12+$C$8*_xlfn.NORM.S.INV(RAND()))</f>
        <v/>
      </c>
    </row>
    <row r="144">
      <c r="F144">
        <f>F143+1</f>
        <v/>
      </c>
      <c r="G144" s="92">
        <f>EXP($C$12+$C$8*_xlfn.NORM.S.INV(RAND()))</f>
        <v/>
      </c>
    </row>
    <row r="145">
      <c r="F145">
        <f>F144+1</f>
        <v/>
      </c>
      <c r="G145" s="92">
        <f>EXP($C$12+$C$8*_xlfn.NORM.S.INV(RAND()))</f>
        <v/>
      </c>
    </row>
    <row r="146">
      <c r="F146">
        <f>F145+1</f>
        <v/>
      </c>
      <c r="G146" s="92">
        <f>EXP($C$12+$C$8*_xlfn.NORM.S.INV(RAND()))</f>
        <v/>
      </c>
    </row>
    <row r="147">
      <c r="F147">
        <f>F146+1</f>
        <v/>
      </c>
      <c r="G147" s="92">
        <f>EXP($C$12+$C$8*_xlfn.NORM.S.INV(RAND()))</f>
        <v/>
      </c>
    </row>
    <row r="148">
      <c r="F148">
        <f>F147+1</f>
        <v/>
      </c>
      <c r="G148" s="92">
        <f>EXP($C$12+$C$8*_xlfn.NORM.S.INV(RAND()))</f>
        <v/>
      </c>
    </row>
    <row r="149">
      <c r="F149">
        <f>F148+1</f>
        <v/>
      </c>
      <c r="G149" s="92">
        <f>EXP($C$12+$C$8*_xlfn.NORM.S.INV(RAND()))</f>
        <v/>
      </c>
    </row>
    <row r="150">
      <c r="F150">
        <f>F149+1</f>
        <v/>
      </c>
      <c r="G150" s="92">
        <f>EXP($C$12+$C$8*_xlfn.NORM.S.INV(RAND()))</f>
        <v/>
      </c>
    </row>
    <row r="151">
      <c r="F151">
        <f>F150+1</f>
        <v/>
      </c>
      <c r="G151" s="92">
        <f>EXP($C$12+$C$8*_xlfn.NORM.S.INV(RAND()))</f>
        <v/>
      </c>
    </row>
    <row r="152">
      <c r="F152">
        <f>F151+1</f>
        <v/>
      </c>
      <c r="G152" s="92">
        <f>EXP($C$12+$C$8*_xlfn.NORM.S.INV(RAND()))</f>
        <v/>
      </c>
    </row>
    <row r="153">
      <c r="F153">
        <f>F152+1</f>
        <v/>
      </c>
      <c r="G153" s="92">
        <f>EXP($C$12+$C$8*_xlfn.NORM.S.INV(RAND()))</f>
        <v/>
      </c>
    </row>
    <row r="154">
      <c r="F154">
        <f>F153+1</f>
        <v/>
      </c>
      <c r="G154" s="92">
        <f>EXP($C$12+$C$8*_xlfn.NORM.S.INV(RAND()))</f>
        <v/>
      </c>
    </row>
    <row r="155">
      <c r="F155">
        <f>F154+1</f>
        <v/>
      </c>
      <c r="G155" s="92">
        <f>EXP($C$12+$C$8*_xlfn.NORM.S.INV(RAND()))</f>
        <v/>
      </c>
    </row>
    <row r="156">
      <c r="F156">
        <f>F155+1</f>
        <v/>
      </c>
      <c r="G156" s="92">
        <f>EXP($C$12+$C$8*_xlfn.NORM.S.INV(RAND()))</f>
        <v/>
      </c>
    </row>
    <row r="157">
      <c r="F157">
        <f>F156+1</f>
        <v/>
      </c>
      <c r="G157" s="92">
        <f>EXP($C$12+$C$8*_xlfn.NORM.S.INV(RAND()))</f>
        <v/>
      </c>
    </row>
    <row r="158">
      <c r="F158">
        <f>F157+1</f>
        <v/>
      </c>
      <c r="G158" s="92">
        <f>EXP($C$12+$C$8*_xlfn.NORM.S.INV(RAND()))</f>
        <v/>
      </c>
    </row>
    <row r="159">
      <c r="F159">
        <f>F158+1</f>
        <v/>
      </c>
      <c r="G159" s="92">
        <f>EXP($C$12+$C$8*_xlfn.NORM.S.INV(RAND()))</f>
        <v/>
      </c>
    </row>
    <row r="160">
      <c r="F160">
        <f>F159+1</f>
        <v/>
      </c>
      <c r="G160" s="92">
        <f>EXP($C$12+$C$8*_xlfn.NORM.S.INV(RAND()))</f>
        <v/>
      </c>
    </row>
    <row r="161">
      <c r="F161">
        <f>F160+1</f>
        <v/>
      </c>
      <c r="G161" s="92">
        <f>EXP($C$12+$C$8*_xlfn.NORM.S.INV(RAND()))</f>
        <v/>
      </c>
    </row>
    <row r="162">
      <c r="F162">
        <f>F161+1</f>
        <v/>
      </c>
      <c r="G162" s="92">
        <f>EXP($C$12+$C$8*_xlfn.NORM.S.INV(RAND()))</f>
        <v/>
      </c>
    </row>
    <row r="163">
      <c r="F163">
        <f>F162+1</f>
        <v/>
      </c>
      <c r="G163" s="92">
        <f>EXP($C$12+$C$8*_xlfn.NORM.S.INV(RAND()))</f>
        <v/>
      </c>
    </row>
    <row r="164">
      <c r="F164">
        <f>F163+1</f>
        <v/>
      </c>
      <c r="G164" s="92">
        <f>EXP($C$12+$C$8*_xlfn.NORM.S.INV(RAND()))</f>
        <v/>
      </c>
    </row>
    <row r="165">
      <c r="F165">
        <f>F164+1</f>
        <v/>
      </c>
      <c r="G165" s="92">
        <f>EXP($C$12+$C$8*_xlfn.NORM.S.INV(RAND()))</f>
        <v/>
      </c>
    </row>
    <row r="166">
      <c r="F166">
        <f>F165+1</f>
        <v/>
      </c>
      <c r="G166" s="92">
        <f>EXP($C$12+$C$8*_xlfn.NORM.S.INV(RAND()))</f>
        <v/>
      </c>
    </row>
    <row r="167">
      <c r="F167">
        <f>F166+1</f>
        <v/>
      </c>
      <c r="G167" s="92">
        <f>EXP($C$12+$C$8*_xlfn.NORM.S.INV(RAND()))</f>
        <v/>
      </c>
    </row>
    <row r="168">
      <c r="F168">
        <f>F167+1</f>
        <v/>
      </c>
      <c r="G168" s="92">
        <f>EXP($C$12+$C$8*_xlfn.NORM.S.INV(RAND()))</f>
        <v/>
      </c>
    </row>
    <row r="169">
      <c r="F169">
        <f>F168+1</f>
        <v/>
      </c>
      <c r="G169" s="92">
        <f>EXP($C$12+$C$8*_xlfn.NORM.S.INV(RAND()))</f>
        <v/>
      </c>
    </row>
    <row r="170">
      <c r="F170">
        <f>F169+1</f>
        <v/>
      </c>
      <c r="G170" s="92">
        <f>EXP($C$12+$C$8*_xlfn.NORM.S.INV(RAND()))</f>
        <v/>
      </c>
    </row>
    <row r="171">
      <c r="F171">
        <f>F170+1</f>
        <v/>
      </c>
      <c r="G171" s="92">
        <f>EXP($C$12+$C$8*_xlfn.NORM.S.INV(RAND()))</f>
        <v/>
      </c>
    </row>
    <row r="172">
      <c r="F172">
        <f>F171+1</f>
        <v/>
      </c>
      <c r="G172" s="92">
        <f>EXP($C$12+$C$8*_xlfn.NORM.S.INV(RAND()))</f>
        <v/>
      </c>
    </row>
    <row r="173">
      <c r="F173">
        <f>F172+1</f>
        <v/>
      </c>
      <c r="G173" s="92">
        <f>EXP($C$12+$C$8*_xlfn.NORM.S.INV(RAND()))</f>
        <v/>
      </c>
    </row>
    <row r="174">
      <c r="F174">
        <f>F173+1</f>
        <v/>
      </c>
      <c r="G174" s="92">
        <f>EXP($C$12+$C$8*_xlfn.NORM.S.INV(RAND()))</f>
        <v/>
      </c>
    </row>
    <row r="175">
      <c r="F175">
        <f>F174+1</f>
        <v/>
      </c>
      <c r="G175" s="92">
        <f>EXP($C$12+$C$8*_xlfn.NORM.S.INV(RAND()))</f>
        <v/>
      </c>
    </row>
    <row r="176">
      <c r="F176">
        <f>F175+1</f>
        <v/>
      </c>
      <c r="G176" s="92">
        <f>EXP($C$12+$C$8*_xlfn.NORM.S.INV(RAND()))</f>
        <v/>
      </c>
    </row>
    <row r="177">
      <c r="F177">
        <f>F176+1</f>
        <v/>
      </c>
      <c r="G177" s="92">
        <f>EXP($C$12+$C$8*_xlfn.NORM.S.INV(RAND()))</f>
        <v/>
      </c>
    </row>
    <row r="178">
      <c r="F178">
        <f>F177+1</f>
        <v/>
      </c>
      <c r="G178" s="92">
        <f>EXP($C$12+$C$8*_xlfn.NORM.S.INV(RAND()))</f>
        <v/>
      </c>
    </row>
    <row r="179">
      <c r="F179">
        <f>F178+1</f>
        <v/>
      </c>
      <c r="G179" s="92">
        <f>EXP($C$12+$C$8*_xlfn.NORM.S.INV(RAND()))</f>
        <v/>
      </c>
    </row>
    <row r="180">
      <c r="F180">
        <f>F179+1</f>
        <v/>
      </c>
      <c r="G180" s="92">
        <f>EXP($C$12+$C$8*_xlfn.NORM.S.INV(RAND()))</f>
        <v/>
      </c>
    </row>
    <row r="181">
      <c r="F181">
        <f>F180+1</f>
        <v/>
      </c>
      <c r="G181" s="92">
        <f>EXP($C$12+$C$8*_xlfn.NORM.S.INV(RAND()))</f>
        <v/>
      </c>
    </row>
    <row r="182">
      <c r="F182">
        <f>F181+1</f>
        <v/>
      </c>
      <c r="G182" s="92">
        <f>EXP($C$12+$C$8*_xlfn.NORM.S.INV(RAND()))</f>
        <v/>
      </c>
    </row>
    <row r="183">
      <c r="F183">
        <f>F182+1</f>
        <v/>
      </c>
      <c r="G183" s="92">
        <f>EXP($C$12+$C$8*_xlfn.NORM.S.INV(RAND()))</f>
        <v/>
      </c>
    </row>
    <row r="184">
      <c r="F184">
        <f>F183+1</f>
        <v/>
      </c>
      <c r="G184" s="92">
        <f>EXP($C$12+$C$8*_xlfn.NORM.S.INV(RAND()))</f>
        <v/>
      </c>
    </row>
    <row r="185">
      <c r="F185">
        <f>F184+1</f>
        <v/>
      </c>
      <c r="G185" s="92">
        <f>EXP($C$12+$C$8*_xlfn.NORM.S.INV(RAND()))</f>
        <v/>
      </c>
    </row>
    <row r="186">
      <c r="F186">
        <f>F185+1</f>
        <v/>
      </c>
      <c r="G186" s="92">
        <f>EXP($C$12+$C$8*_xlfn.NORM.S.INV(RAND()))</f>
        <v/>
      </c>
    </row>
    <row r="187">
      <c r="F187">
        <f>F186+1</f>
        <v/>
      </c>
      <c r="G187" s="92">
        <f>EXP($C$12+$C$8*_xlfn.NORM.S.INV(RAND()))</f>
        <v/>
      </c>
    </row>
    <row r="188">
      <c r="F188">
        <f>F187+1</f>
        <v/>
      </c>
      <c r="G188" s="92">
        <f>EXP($C$12+$C$8*_xlfn.NORM.S.INV(RAND()))</f>
        <v/>
      </c>
    </row>
    <row r="189">
      <c r="F189">
        <f>F188+1</f>
        <v/>
      </c>
      <c r="G189" s="92">
        <f>EXP($C$12+$C$8*_xlfn.NORM.S.INV(RAND()))</f>
        <v/>
      </c>
    </row>
    <row r="190">
      <c r="F190">
        <f>F189+1</f>
        <v/>
      </c>
      <c r="G190" s="92">
        <f>EXP($C$12+$C$8*_xlfn.NORM.S.INV(RAND()))</f>
        <v/>
      </c>
    </row>
    <row r="191">
      <c r="F191">
        <f>F190+1</f>
        <v/>
      </c>
      <c r="G191" s="92">
        <f>EXP($C$12+$C$8*_xlfn.NORM.S.INV(RAND()))</f>
        <v/>
      </c>
    </row>
    <row r="192">
      <c r="F192">
        <f>F191+1</f>
        <v/>
      </c>
      <c r="G192" s="92">
        <f>EXP($C$12+$C$8*_xlfn.NORM.S.INV(RAND()))</f>
        <v/>
      </c>
    </row>
    <row r="193">
      <c r="F193">
        <f>F192+1</f>
        <v/>
      </c>
      <c r="G193" s="92">
        <f>EXP($C$12+$C$8*_xlfn.NORM.S.INV(RAND()))</f>
        <v/>
      </c>
    </row>
    <row r="194">
      <c r="F194">
        <f>F193+1</f>
        <v/>
      </c>
      <c r="G194" s="92">
        <f>EXP($C$12+$C$8*_xlfn.NORM.S.INV(RAND()))</f>
        <v/>
      </c>
    </row>
    <row r="195">
      <c r="F195">
        <f>F194+1</f>
        <v/>
      </c>
      <c r="G195" s="92">
        <f>EXP($C$12+$C$8*_xlfn.NORM.S.INV(RAND()))</f>
        <v/>
      </c>
    </row>
    <row r="196">
      <c r="F196">
        <f>F195+1</f>
        <v/>
      </c>
      <c r="G196" s="92">
        <f>EXP($C$12+$C$8*_xlfn.NORM.S.INV(RAND()))</f>
        <v/>
      </c>
    </row>
    <row r="197">
      <c r="F197">
        <f>F196+1</f>
        <v/>
      </c>
      <c r="G197" s="92">
        <f>EXP($C$12+$C$8*_xlfn.NORM.S.INV(RAND()))</f>
        <v/>
      </c>
    </row>
    <row r="198">
      <c r="F198">
        <f>F197+1</f>
        <v/>
      </c>
      <c r="G198" s="92">
        <f>EXP($C$12+$C$8*_xlfn.NORM.S.INV(RAND()))</f>
        <v/>
      </c>
    </row>
    <row r="199">
      <c r="F199">
        <f>F198+1</f>
        <v/>
      </c>
      <c r="G199" s="92">
        <f>EXP($C$12+$C$8*_xlfn.NORM.S.INV(RAND()))</f>
        <v/>
      </c>
    </row>
    <row r="200">
      <c r="F200">
        <f>F199+1</f>
        <v/>
      </c>
      <c r="G200" s="92">
        <f>EXP($C$12+$C$8*_xlfn.NORM.S.INV(RAND()))</f>
        <v/>
      </c>
    </row>
    <row r="201">
      <c r="F201">
        <f>F200+1</f>
        <v/>
      </c>
      <c r="G201" s="92">
        <f>EXP($C$12+$C$8*_xlfn.NORM.S.INV(RAND()))</f>
        <v/>
      </c>
    </row>
    <row r="202">
      <c r="F202">
        <f>F201+1</f>
        <v/>
      </c>
      <c r="G202" s="92">
        <f>EXP($C$12+$C$8*_xlfn.NORM.S.INV(RAND()))</f>
        <v/>
      </c>
    </row>
    <row r="203">
      <c r="F203">
        <f>F202+1</f>
        <v/>
      </c>
      <c r="G203" s="92">
        <f>EXP($C$12+$C$8*_xlfn.NORM.S.INV(RAND()))</f>
        <v/>
      </c>
    </row>
    <row r="204">
      <c r="F204">
        <f>F203+1</f>
        <v/>
      </c>
      <c r="G204" s="92">
        <f>EXP($C$12+$C$8*_xlfn.NORM.S.INV(RAND()))</f>
        <v/>
      </c>
    </row>
    <row r="205">
      <c r="F205">
        <f>F204+1</f>
        <v/>
      </c>
      <c r="G205" s="92">
        <f>EXP($C$12+$C$8*_xlfn.NORM.S.INV(RAND()))</f>
        <v/>
      </c>
    </row>
    <row r="206">
      <c r="F206">
        <f>F205+1</f>
        <v/>
      </c>
      <c r="G206" s="92">
        <f>EXP($C$12+$C$8*_xlfn.NORM.S.INV(RAND()))</f>
        <v/>
      </c>
    </row>
    <row r="207">
      <c r="F207">
        <f>F206+1</f>
        <v/>
      </c>
      <c r="G207" s="92">
        <f>EXP($C$12+$C$8*_xlfn.NORM.S.INV(RAND()))</f>
        <v/>
      </c>
    </row>
    <row r="208">
      <c r="F208">
        <f>F207+1</f>
        <v/>
      </c>
      <c r="G208" s="92">
        <f>EXP($C$12+$C$8*_xlfn.NORM.S.INV(RAND()))</f>
        <v/>
      </c>
    </row>
    <row r="209">
      <c r="F209">
        <f>F208+1</f>
        <v/>
      </c>
      <c r="G209" s="92">
        <f>EXP($C$12+$C$8*_xlfn.NORM.S.INV(RAND()))</f>
        <v/>
      </c>
    </row>
    <row r="210">
      <c r="F210">
        <f>F209+1</f>
        <v/>
      </c>
      <c r="G210" s="92">
        <f>EXP($C$12+$C$8*_xlfn.NORM.S.INV(RAND()))</f>
        <v/>
      </c>
    </row>
    <row r="211">
      <c r="F211">
        <f>F210+1</f>
        <v/>
      </c>
      <c r="G211" s="92">
        <f>EXP($C$12+$C$8*_xlfn.NORM.S.INV(RAND()))</f>
        <v/>
      </c>
    </row>
    <row r="212">
      <c r="F212">
        <f>F211+1</f>
        <v/>
      </c>
      <c r="G212" s="92">
        <f>EXP($C$12+$C$8*_xlfn.NORM.S.INV(RAND()))</f>
        <v/>
      </c>
    </row>
    <row r="213">
      <c r="F213">
        <f>F212+1</f>
        <v/>
      </c>
      <c r="G213" s="92">
        <f>EXP($C$12+$C$8*_xlfn.NORM.S.INV(RAND()))</f>
        <v/>
      </c>
    </row>
    <row r="214">
      <c r="F214">
        <f>F213+1</f>
        <v/>
      </c>
      <c r="G214" s="92">
        <f>EXP($C$12+$C$8*_xlfn.NORM.S.INV(RAND()))</f>
        <v/>
      </c>
    </row>
    <row r="215">
      <c r="F215">
        <f>F214+1</f>
        <v/>
      </c>
      <c r="G215" s="92">
        <f>EXP($C$12+$C$8*_xlfn.NORM.S.INV(RAND()))</f>
        <v/>
      </c>
    </row>
    <row r="216">
      <c r="F216">
        <f>F215+1</f>
        <v/>
      </c>
      <c r="G216" s="92">
        <f>EXP($C$12+$C$8*_xlfn.NORM.S.INV(RAND()))</f>
        <v/>
      </c>
    </row>
    <row r="217">
      <c r="F217">
        <f>F216+1</f>
        <v/>
      </c>
      <c r="G217" s="92">
        <f>EXP($C$12+$C$8*_xlfn.NORM.S.INV(RAND()))</f>
        <v/>
      </c>
    </row>
    <row r="218">
      <c r="F218">
        <f>F217+1</f>
        <v/>
      </c>
      <c r="G218" s="92">
        <f>EXP($C$12+$C$8*_xlfn.NORM.S.INV(RAND()))</f>
        <v/>
      </c>
    </row>
    <row r="219">
      <c r="F219">
        <f>F218+1</f>
        <v/>
      </c>
      <c r="G219" s="92">
        <f>EXP($C$12+$C$8*_xlfn.NORM.S.INV(RAND()))</f>
        <v/>
      </c>
    </row>
    <row r="220">
      <c r="F220">
        <f>F219+1</f>
        <v/>
      </c>
      <c r="G220" s="92">
        <f>EXP($C$12+$C$8*_xlfn.NORM.S.INV(RAND()))</f>
        <v/>
      </c>
    </row>
    <row r="221">
      <c r="F221">
        <f>F220+1</f>
        <v/>
      </c>
      <c r="G221" s="92">
        <f>EXP($C$12+$C$8*_xlfn.NORM.S.INV(RAND()))</f>
        <v/>
      </c>
    </row>
    <row r="222">
      <c r="F222">
        <f>F221+1</f>
        <v/>
      </c>
      <c r="G222" s="92">
        <f>EXP($C$12+$C$8*_xlfn.NORM.S.INV(RAND()))</f>
        <v/>
      </c>
    </row>
    <row r="223">
      <c r="F223">
        <f>F222+1</f>
        <v/>
      </c>
      <c r="G223" s="92">
        <f>EXP($C$12+$C$8*_xlfn.NORM.S.INV(RAND()))</f>
        <v/>
      </c>
    </row>
    <row r="224">
      <c r="F224">
        <f>F223+1</f>
        <v/>
      </c>
      <c r="G224" s="92">
        <f>EXP($C$12+$C$8*_xlfn.NORM.S.INV(RAND()))</f>
        <v/>
      </c>
    </row>
    <row r="225">
      <c r="F225">
        <f>F224+1</f>
        <v/>
      </c>
      <c r="G225" s="92">
        <f>EXP($C$12+$C$8*_xlfn.NORM.S.INV(RAND()))</f>
        <v/>
      </c>
    </row>
    <row r="226">
      <c r="F226">
        <f>F225+1</f>
        <v/>
      </c>
      <c r="G226" s="92">
        <f>EXP($C$12+$C$8*_xlfn.NORM.S.INV(RAND()))</f>
        <v/>
      </c>
    </row>
    <row r="227">
      <c r="F227">
        <f>F226+1</f>
        <v/>
      </c>
      <c r="G227" s="92">
        <f>EXP($C$12+$C$8*_xlfn.NORM.S.INV(RAND()))</f>
        <v/>
      </c>
    </row>
    <row r="228">
      <c r="F228">
        <f>F227+1</f>
        <v/>
      </c>
      <c r="G228" s="92">
        <f>EXP($C$12+$C$8*_xlfn.NORM.S.INV(RAND()))</f>
        <v/>
      </c>
    </row>
    <row r="229">
      <c r="F229">
        <f>F228+1</f>
        <v/>
      </c>
      <c r="G229" s="92">
        <f>EXP($C$12+$C$8*_xlfn.NORM.S.INV(RAND()))</f>
        <v/>
      </c>
    </row>
    <row r="230">
      <c r="F230">
        <f>F229+1</f>
        <v/>
      </c>
      <c r="G230" s="92">
        <f>EXP($C$12+$C$8*_xlfn.NORM.S.INV(RAND()))</f>
        <v/>
      </c>
    </row>
    <row r="231">
      <c r="F231">
        <f>F230+1</f>
        <v/>
      </c>
      <c r="G231" s="92">
        <f>EXP($C$12+$C$8*_xlfn.NORM.S.INV(RAND()))</f>
        <v/>
      </c>
    </row>
    <row r="232">
      <c r="F232">
        <f>F231+1</f>
        <v/>
      </c>
      <c r="G232" s="92">
        <f>EXP($C$12+$C$8*_xlfn.NORM.S.INV(RAND()))</f>
        <v/>
      </c>
    </row>
    <row r="233">
      <c r="F233">
        <f>F232+1</f>
        <v/>
      </c>
      <c r="G233" s="92">
        <f>EXP($C$12+$C$8*_xlfn.NORM.S.INV(RAND()))</f>
        <v/>
      </c>
    </row>
    <row r="234">
      <c r="F234">
        <f>F233+1</f>
        <v/>
      </c>
      <c r="G234" s="92">
        <f>EXP($C$12+$C$8*_xlfn.NORM.S.INV(RAND()))</f>
        <v/>
      </c>
    </row>
    <row r="235">
      <c r="F235">
        <f>F234+1</f>
        <v/>
      </c>
      <c r="G235" s="92">
        <f>EXP($C$12+$C$8*_xlfn.NORM.S.INV(RAND()))</f>
        <v/>
      </c>
    </row>
    <row r="236">
      <c r="F236">
        <f>F235+1</f>
        <v/>
      </c>
      <c r="G236" s="92">
        <f>EXP($C$12+$C$8*_xlfn.NORM.S.INV(RAND()))</f>
        <v/>
      </c>
    </row>
    <row r="237">
      <c r="F237">
        <f>F236+1</f>
        <v/>
      </c>
      <c r="G237" s="92">
        <f>EXP($C$12+$C$8*_xlfn.NORM.S.INV(RAND()))</f>
        <v/>
      </c>
    </row>
    <row r="238">
      <c r="F238">
        <f>F237+1</f>
        <v/>
      </c>
      <c r="G238" s="92">
        <f>EXP($C$12+$C$8*_xlfn.NORM.S.INV(RAND()))</f>
        <v/>
      </c>
    </row>
    <row r="239">
      <c r="F239">
        <f>F238+1</f>
        <v/>
      </c>
      <c r="G239" s="92">
        <f>EXP($C$12+$C$8*_xlfn.NORM.S.INV(RAND()))</f>
        <v/>
      </c>
    </row>
    <row r="240">
      <c r="F240">
        <f>F239+1</f>
        <v/>
      </c>
      <c r="G240" s="92">
        <f>EXP($C$12+$C$8*_xlfn.NORM.S.INV(RAND()))</f>
        <v/>
      </c>
    </row>
    <row r="241">
      <c r="F241">
        <f>F240+1</f>
        <v/>
      </c>
      <c r="G241" s="92">
        <f>EXP($C$12+$C$8*_xlfn.NORM.S.INV(RAND()))</f>
        <v/>
      </c>
    </row>
    <row r="242">
      <c r="F242">
        <f>F241+1</f>
        <v/>
      </c>
      <c r="G242" s="92">
        <f>EXP($C$12+$C$8*_xlfn.NORM.S.INV(RAND()))</f>
        <v/>
      </c>
    </row>
    <row r="243">
      <c r="F243">
        <f>F242+1</f>
        <v/>
      </c>
      <c r="G243" s="92">
        <f>EXP($C$12+$C$8*_xlfn.NORM.S.INV(RAND()))</f>
        <v/>
      </c>
    </row>
    <row r="244">
      <c r="F244">
        <f>F243+1</f>
        <v/>
      </c>
      <c r="G244" s="92">
        <f>EXP($C$12+$C$8*_xlfn.NORM.S.INV(RAND()))</f>
        <v/>
      </c>
    </row>
    <row r="245">
      <c r="F245">
        <f>F244+1</f>
        <v/>
      </c>
      <c r="G245" s="92">
        <f>EXP($C$12+$C$8*_xlfn.NORM.S.INV(RAND()))</f>
        <v/>
      </c>
    </row>
    <row r="246">
      <c r="F246">
        <f>F245+1</f>
        <v/>
      </c>
      <c r="G246" s="92">
        <f>EXP($C$12+$C$8*_xlfn.NORM.S.INV(RAND()))</f>
        <v/>
      </c>
    </row>
    <row r="247">
      <c r="F247">
        <f>F246+1</f>
        <v/>
      </c>
      <c r="G247" s="92">
        <f>EXP($C$12+$C$8*_xlfn.NORM.S.INV(RAND()))</f>
        <v/>
      </c>
    </row>
    <row r="248">
      <c r="F248">
        <f>F247+1</f>
        <v/>
      </c>
      <c r="G248" s="92">
        <f>EXP($C$12+$C$8*_xlfn.NORM.S.INV(RAND()))</f>
        <v/>
      </c>
    </row>
    <row r="249">
      <c r="F249">
        <f>F248+1</f>
        <v/>
      </c>
      <c r="G249" s="92">
        <f>EXP($C$12+$C$8*_xlfn.NORM.S.INV(RAND()))</f>
        <v/>
      </c>
    </row>
    <row r="250">
      <c r="F250">
        <f>F249+1</f>
        <v/>
      </c>
      <c r="G250" s="92">
        <f>EXP($C$12+$C$8*_xlfn.NORM.S.INV(RAND()))</f>
        <v/>
      </c>
    </row>
    <row r="251">
      <c r="F251">
        <f>F250+1</f>
        <v/>
      </c>
      <c r="G251" s="92">
        <f>EXP($C$12+$C$8*_xlfn.NORM.S.INV(RAND()))</f>
        <v/>
      </c>
    </row>
    <row r="252">
      <c r="F252">
        <f>F251+1</f>
        <v/>
      </c>
      <c r="G252" s="92">
        <f>EXP($C$12+$C$8*_xlfn.NORM.S.INV(RAND()))</f>
        <v/>
      </c>
    </row>
    <row r="253">
      <c r="F253">
        <f>F252+1</f>
        <v/>
      </c>
      <c r="G253" s="92">
        <f>EXP($C$12+$C$8*_xlfn.NORM.S.INV(RAND()))</f>
        <v/>
      </c>
    </row>
    <row r="254">
      <c r="F254">
        <f>F253+1</f>
        <v/>
      </c>
      <c r="G254" s="92">
        <f>EXP($C$12+$C$8*_xlfn.NORM.S.INV(RAND()))</f>
        <v/>
      </c>
    </row>
    <row r="255">
      <c r="F255">
        <f>F254+1</f>
        <v/>
      </c>
      <c r="G255" s="92">
        <f>EXP($C$12+$C$8*_xlfn.NORM.S.INV(RAND()))</f>
        <v/>
      </c>
    </row>
    <row r="256">
      <c r="F256">
        <f>F255+1</f>
        <v/>
      </c>
      <c r="G256" s="92">
        <f>EXP($C$12+$C$8*_xlfn.NORM.S.INV(RAND()))</f>
        <v/>
      </c>
    </row>
    <row r="257">
      <c r="F257">
        <f>F256+1</f>
        <v/>
      </c>
      <c r="G257" s="92">
        <f>EXP($C$12+$C$8*_xlfn.NORM.S.INV(RAND()))</f>
        <v/>
      </c>
    </row>
    <row r="258">
      <c r="F258">
        <f>F257+1</f>
        <v/>
      </c>
      <c r="G258" s="92">
        <f>EXP($C$12+$C$8*_xlfn.NORM.S.INV(RAND()))</f>
        <v/>
      </c>
    </row>
    <row r="259">
      <c r="F259">
        <f>F258+1</f>
        <v/>
      </c>
      <c r="G259" s="92">
        <f>EXP($C$12+$C$8*_xlfn.NORM.S.INV(RAND()))</f>
        <v/>
      </c>
    </row>
    <row r="260">
      <c r="F260">
        <f>F259+1</f>
        <v/>
      </c>
      <c r="G260" s="92">
        <f>EXP($C$12+$C$8*_xlfn.NORM.S.INV(RAND()))</f>
        <v/>
      </c>
    </row>
    <row r="261">
      <c r="F261">
        <f>F260+1</f>
        <v/>
      </c>
      <c r="G261" s="92">
        <f>EXP($C$12+$C$8*_xlfn.NORM.S.INV(RAND()))</f>
        <v/>
      </c>
    </row>
    <row r="262">
      <c r="F262">
        <f>F261+1</f>
        <v/>
      </c>
      <c r="G262" s="92">
        <f>EXP($C$12+$C$8*_xlfn.NORM.S.INV(RAND()))</f>
        <v/>
      </c>
    </row>
    <row r="263">
      <c r="F263">
        <f>F262+1</f>
        <v/>
      </c>
      <c r="G263" s="92">
        <f>EXP($C$12+$C$8*_xlfn.NORM.S.INV(RAND()))</f>
        <v/>
      </c>
    </row>
    <row r="264">
      <c r="F264">
        <f>F263+1</f>
        <v/>
      </c>
      <c r="G264" s="92">
        <f>EXP($C$12+$C$8*_xlfn.NORM.S.INV(RAND()))</f>
        <v/>
      </c>
    </row>
    <row r="265">
      <c r="F265">
        <f>F264+1</f>
        <v/>
      </c>
      <c r="G265" s="92">
        <f>EXP($C$12+$C$8*_xlfn.NORM.S.INV(RAND()))</f>
        <v/>
      </c>
    </row>
    <row r="266">
      <c r="F266">
        <f>F265+1</f>
        <v/>
      </c>
      <c r="G266" s="92">
        <f>EXP($C$12+$C$8*_xlfn.NORM.S.INV(RAND()))</f>
        <v/>
      </c>
    </row>
    <row r="267">
      <c r="F267">
        <f>F266+1</f>
        <v/>
      </c>
      <c r="G267" s="92">
        <f>EXP($C$12+$C$8*_xlfn.NORM.S.INV(RAND()))</f>
        <v/>
      </c>
    </row>
    <row r="268">
      <c r="F268">
        <f>F267+1</f>
        <v/>
      </c>
      <c r="G268" s="92">
        <f>EXP($C$12+$C$8*_xlfn.NORM.S.INV(RAND()))</f>
        <v/>
      </c>
    </row>
    <row r="269">
      <c r="F269">
        <f>F268+1</f>
        <v/>
      </c>
      <c r="G269" s="92">
        <f>EXP($C$12+$C$8*_xlfn.NORM.S.INV(RAND()))</f>
        <v/>
      </c>
    </row>
    <row r="270">
      <c r="F270">
        <f>F269+1</f>
        <v/>
      </c>
      <c r="G270" s="92">
        <f>EXP($C$12+$C$8*_xlfn.NORM.S.INV(RAND()))</f>
        <v/>
      </c>
    </row>
    <row r="271">
      <c r="F271">
        <f>F270+1</f>
        <v/>
      </c>
      <c r="G271" s="92">
        <f>EXP($C$12+$C$8*_xlfn.NORM.S.INV(RAND()))</f>
        <v/>
      </c>
    </row>
    <row r="272">
      <c r="F272">
        <f>F271+1</f>
        <v/>
      </c>
      <c r="G272" s="92">
        <f>EXP($C$12+$C$8*_xlfn.NORM.S.INV(RAND()))</f>
        <v/>
      </c>
    </row>
    <row r="273">
      <c r="F273">
        <f>F272+1</f>
        <v/>
      </c>
      <c r="G273" s="92">
        <f>EXP($C$12+$C$8*_xlfn.NORM.S.INV(RAND()))</f>
        <v/>
      </c>
    </row>
    <row r="274">
      <c r="F274">
        <f>F273+1</f>
        <v/>
      </c>
      <c r="G274" s="92">
        <f>EXP($C$12+$C$8*_xlfn.NORM.S.INV(RAND()))</f>
        <v/>
      </c>
    </row>
    <row r="275">
      <c r="F275">
        <f>F274+1</f>
        <v/>
      </c>
      <c r="G275" s="92">
        <f>EXP($C$12+$C$8*_xlfn.NORM.S.INV(RAND()))</f>
        <v/>
      </c>
    </row>
    <row r="276">
      <c r="F276">
        <f>F275+1</f>
        <v/>
      </c>
      <c r="G276" s="92">
        <f>EXP($C$12+$C$8*_xlfn.NORM.S.INV(RAND()))</f>
        <v/>
      </c>
    </row>
    <row r="277">
      <c r="F277">
        <f>F276+1</f>
        <v/>
      </c>
      <c r="G277" s="92">
        <f>EXP($C$12+$C$8*_xlfn.NORM.S.INV(RAND()))</f>
        <v/>
      </c>
    </row>
    <row r="278">
      <c r="F278">
        <f>F277+1</f>
        <v/>
      </c>
      <c r="G278" s="92">
        <f>EXP($C$12+$C$8*_xlfn.NORM.S.INV(RAND()))</f>
        <v/>
      </c>
    </row>
    <row r="279">
      <c r="F279">
        <f>F278+1</f>
        <v/>
      </c>
      <c r="G279" s="92">
        <f>EXP($C$12+$C$8*_xlfn.NORM.S.INV(RAND()))</f>
        <v/>
      </c>
    </row>
    <row r="280">
      <c r="F280">
        <f>F279+1</f>
        <v/>
      </c>
      <c r="G280" s="92">
        <f>EXP($C$12+$C$8*_xlfn.NORM.S.INV(RAND()))</f>
        <v/>
      </c>
    </row>
    <row r="281">
      <c r="F281">
        <f>F280+1</f>
        <v/>
      </c>
      <c r="G281" s="92">
        <f>EXP($C$12+$C$8*_xlfn.NORM.S.INV(RAND()))</f>
        <v/>
      </c>
    </row>
    <row r="282">
      <c r="F282">
        <f>F281+1</f>
        <v/>
      </c>
      <c r="G282" s="92">
        <f>EXP($C$12+$C$8*_xlfn.NORM.S.INV(RAND()))</f>
        <v/>
      </c>
    </row>
    <row r="283">
      <c r="F283">
        <f>F282+1</f>
        <v/>
      </c>
      <c r="G283" s="92">
        <f>EXP($C$12+$C$8*_xlfn.NORM.S.INV(RAND()))</f>
        <v/>
      </c>
    </row>
    <row r="284">
      <c r="F284">
        <f>F283+1</f>
        <v/>
      </c>
      <c r="G284" s="92">
        <f>EXP($C$12+$C$8*_xlfn.NORM.S.INV(RAND()))</f>
        <v/>
      </c>
    </row>
    <row r="285">
      <c r="F285">
        <f>F284+1</f>
        <v/>
      </c>
      <c r="G285" s="92">
        <f>EXP($C$12+$C$8*_xlfn.NORM.S.INV(RAND()))</f>
        <v/>
      </c>
    </row>
    <row r="286">
      <c r="F286">
        <f>F285+1</f>
        <v/>
      </c>
      <c r="G286" s="92">
        <f>EXP($C$12+$C$8*_xlfn.NORM.S.INV(RAND()))</f>
        <v/>
      </c>
    </row>
    <row r="287">
      <c r="F287">
        <f>F286+1</f>
        <v/>
      </c>
      <c r="G287" s="92">
        <f>EXP($C$12+$C$8*_xlfn.NORM.S.INV(RAND()))</f>
        <v/>
      </c>
    </row>
    <row r="288">
      <c r="F288">
        <f>F287+1</f>
        <v/>
      </c>
      <c r="G288" s="92">
        <f>EXP($C$12+$C$8*_xlfn.NORM.S.INV(RAND()))</f>
        <v/>
      </c>
    </row>
    <row r="289">
      <c r="F289">
        <f>F288+1</f>
        <v/>
      </c>
      <c r="G289" s="92">
        <f>EXP($C$12+$C$8*_xlfn.NORM.S.INV(RAND()))</f>
        <v/>
      </c>
    </row>
    <row r="290">
      <c r="F290">
        <f>F289+1</f>
        <v/>
      </c>
      <c r="G290" s="92">
        <f>EXP($C$12+$C$8*_xlfn.NORM.S.INV(RAND()))</f>
        <v/>
      </c>
    </row>
    <row r="291">
      <c r="F291">
        <f>F290+1</f>
        <v/>
      </c>
      <c r="G291" s="92">
        <f>EXP($C$12+$C$8*_xlfn.NORM.S.INV(RAND()))</f>
        <v/>
      </c>
    </row>
    <row r="292">
      <c r="F292">
        <f>F291+1</f>
        <v/>
      </c>
      <c r="G292" s="92">
        <f>EXP($C$12+$C$8*_xlfn.NORM.S.INV(RAND()))</f>
        <v/>
      </c>
    </row>
    <row r="293">
      <c r="F293">
        <f>F292+1</f>
        <v/>
      </c>
      <c r="G293" s="92">
        <f>EXP($C$12+$C$8*_xlfn.NORM.S.INV(RAND()))</f>
        <v/>
      </c>
    </row>
    <row r="294">
      <c r="F294">
        <f>F293+1</f>
        <v/>
      </c>
      <c r="G294" s="92">
        <f>EXP($C$12+$C$8*_xlfn.NORM.S.INV(RAND()))</f>
        <v/>
      </c>
    </row>
    <row r="295">
      <c r="F295">
        <f>F294+1</f>
        <v/>
      </c>
      <c r="G295" s="92">
        <f>EXP($C$12+$C$8*_xlfn.NORM.S.INV(RAND()))</f>
        <v/>
      </c>
    </row>
    <row r="296">
      <c r="F296">
        <f>F295+1</f>
        <v/>
      </c>
      <c r="G296" s="92">
        <f>EXP($C$12+$C$8*_xlfn.NORM.S.INV(RAND()))</f>
        <v/>
      </c>
    </row>
    <row r="297">
      <c r="F297">
        <f>F296+1</f>
        <v/>
      </c>
      <c r="G297" s="92">
        <f>EXP($C$12+$C$8*_xlfn.NORM.S.INV(RAND()))</f>
        <v/>
      </c>
    </row>
    <row r="298">
      <c r="F298">
        <f>F297+1</f>
        <v/>
      </c>
      <c r="G298" s="92">
        <f>EXP($C$12+$C$8*_xlfn.NORM.S.INV(RAND()))</f>
        <v/>
      </c>
    </row>
    <row r="299">
      <c r="F299">
        <f>F298+1</f>
        <v/>
      </c>
      <c r="G299" s="92">
        <f>EXP($C$12+$C$8*_xlfn.NORM.S.INV(RAND()))</f>
        <v/>
      </c>
    </row>
    <row r="300">
      <c r="F300">
        <f>F299+1</f>
        <v/>
      </c>
      <c r="G300" s="92">
        <f>EXP($C$12+$C$8*_xlfn.NORM.S.INV(RAND()))</f>
        <v/>
      </c>
    </row>
    <row r="301">
      <c r="F301">
        <f>F300+1</f>
        <v/>
      </c>
      <c r="G301" s="92">
        <f>EXP($C$12+$C$8*_xlfn.NORM.S.INV(RAND()))</f>
        <v/>
      </c>
    </row>
    <row r="302">
      <c r="F302">
        <f>F301+1</f>
        <v/>
      </c>
      <c r="G302" s="92">
        <f>EXP($C$12+$C$8*_xlfn.NORM.S.INV(RAND()))</f>
        <v/>
      </c>
    </row>
    <row r="303">
      <c r="F303">
        <f>F302+1</f>
        <v/>
      </c>
      <c r="G303" s="92">
        <f>EXP($C$12+$C$8*_xlfn.NORM.S.INV(RAND()))</f>
        <v/>
      </c>
    </row>
    <row r="304">
      <c r="F304">
        <f>F303+1</f>
        <v/>
      </c>
      <c r="G304" s="92">
        <f>EXP($C$12+$C$8*_xlfn.NORM.S.INV(RAND()))</f>
        <v/>
      </c>
    </row>
    <row r="305">
      <c r="F305">
        <f>F304+1</f>
        <v/>
      </c>
      <c r="G305" s="92">
        <f>EXP($C$12+$C$8*_xlfn.NORM.S.INV(RAND()))</f>
        <v/>
      </c>
    </row>
    <row r="306">
      <c r="F306">
        <f>F305+1</f>
        <v/>
      </c>
      <c r="G306" s="92">
        <f>EXP($C$12+$C$8*_xlfn.NORM.S.INV(RAND()))</f>
        <v/>
      </c>
    </row>
    <row r="307">
      <c r="F307">
        <f>F306+1</f>
        <v/>
      </c>
      <c r="G307" s="92">
        <f>EXP($C$12+$C$8*_xlfn.NORM.S.INV(RAND()))</f>
        <v/>
      </c>
    </row>
    <row r="308">
      <c r="F308">
        <f>F307+1</f>
        <v/>
      </c>
      <c r="G308" s="92">
        <f>EXP($C$12+$C$8*_xlfn.NORM.S.INV(RAND()))</f>
        <v/>
      </c>
    </row>
    <row r="309">
      <c r="F309">
        <f>F308+1</f>
        <v/>
      </c>
      <c r="G309" s="92">
        <f>EXP($C$12+$C$8*_xlfn.NORM.S.INV(RAND()))</f>
        <v/>
      </c>
    </row>
    <row r="310">
      <c r="F310">
        <f>F309+1</f>
        <v/>
      </c>
      <c r="G310" s="92">
        <f>EXP($C$12+$C$8*_xlfn.NORM.S.INV(RAND()))</f>
        <v/>
      </c>
    </row>
    <row r="311">
      <c r="F311">
        <f>F310+1</f>
        <v/>
      </c>
      <c r="G311" s="92">
        <f>EXP($C$12+$C$8*_xlfn.NORM.S.INV(RAND()))</f>
        <v/>
      </c>
    </row>
    <row r="312">
      <c r="F312">
        <f>F311+1</f>
        <v/>
      </c>
      <c r="G312" s="92">
        <f>EXP($C$12+$C$8*_xlfn.NORM.S.INV(RAND()))</f>
        <v/>
      </c>
    </row>
    <row r="313">
      <c r="F313">
        <f>F312+1</f>
        <v/>
      </c>
      <c r="G313" s="92">
        <f>EXP($C$12+$C$8*_xlfn.NORM.S.INV(RAND()))</f>
        <v/>
      </c>
    </row>
    <row r="314">
      <c r="F314">
        <f>F313+1</f>
        <v/>
      </c>
      <c r="G314" s="92">
        <f>EXP($C$12+$C$8*_xlfn.NORM.S.INV(RAND()))</f>
        <v/>
      </c>
    </row>
    <row r="315">
      <c r="F315">
        <f>F314+1</f>
        <v/>
      </c>
      <c r="G315" s="92">
        <f>EXP($C$12+$C$8*_xlfn.NORM.S.INV(RAND()))</f>
        <v/>
      </c>
    </row>
    <row r="316">
      <c r="F316">
        <f>F315+1</f>
        <v/>
      </c>
      <c r="G316" s="92">
        <f>EXP($C$12+$C$8*_xlfn.NORM.S.INV(RAND()))</f>
        <v/>
      </c>
    </row>
    <row r="317">
      <c r="F317">
        <f>F316+1</f>
        <v/>
      </c>
      <c r="G317" s="92">
        <f>EXP($C$12+$C$8*_xlfn.NORM.S.INV(RAND()))</f>
        <v/>
      </c>
    </row>
    <row r="318">
      <c r="F318">
        <f>F317+1</f>
        <v/>
      </c>
      <c r="G318" s="92">
        <f>EXP($C$12+$C$8*_xlfn.NORM.S.INV(RAND()))</f>
        <v/>
      </c>
    </row>
    <row r="319">
      <c r="F319">
        <f>F318+1</f>
        <v/>
      </c>
      <c r="G319" s="92">
        <f>EXP($C$12+$C$8*_xlfn.NORM.S.INV(RAND()))</f>
        <v/>
      </c>
    </row>
    <row r="320">
      <c r="F320">
        <f>F319+1</f>
        <v/>
      </c>
      <c r="G320" s="92">
        <f>EXP($C$12+$C$8*_xlfn.NORM.S.INV(RAND()))</f>
        <v/>
      </c>
    </row>
    <row r="321">
      <c r="F321">
        <f>F320+1</f>
        <v/>
      </c>
      <c r="G321" s="92">
        <f>EXP($C$12+$C$8*_xlfn.NORM.S.INV(RAND()))</f>
        <v/>
      </c>
    </row>
    <row r="322">
      <c r="F322">
        <f>F321+1</f>
        <v/>
      </c>
      <c r="G322" s="92">
        <f>EXP($C$12+$C$8*_xlfn.NORM.S.INV(RAND()))</f>
        <v/>
      </c>
    </row>
    <row r="323">
      <c r="F323">
        <f>F322+1</f>
        <v/>
      </c>
      <c r="G323" s="92">
        <f>EXP($C$12+$C$8*_xlfn.NORM.S.INV(RAND()))</f>
        <v/>
      </c>
    </row>
    <row r="324">
      <c r="F324">
        <f>F323+1</f>
        <v/>
      </c>
      <c r="G324" s="92">
        <f>EXP($C$12+$C$8*_xlfn.NORM.S.INV(RAND()))</f>
        <v/>
      </c>
    </row>
    <row r="325">
      <c r="F325">
        <f>F324+1</f>
        <v/>
      </c>
      <c r="G325" s="92">
        <f>EXP($C$12+$C$8*_xlfn.NORM.S.INV(RAND()))</f>
        <v/>
      </c>
    </row>
    <row r="326">
      <c r="F326">
        <f>F325+1</f>
        <v/>
      </c>
      <c r="G326" s="92">
        <f>EXP($C$12+$C$8*_xlfn.NORM.S.INV(RAND()))</f>
        <v/>
      </c>
    </row>
    <row r="327">
      <c r="F327">
        <f>F326+1</f>
        <v/>
      </c>
      <c r="G327" s="92">
        <f>EXP($C$12+$C$8*_xlfn.NORM.S.INV(RAND()))</f>
        <v/>
      </c>
    </row>
    <row r="328">
      <c r="F328">
        <f>F327+1</f>
        <v/>
      </c>
      <c r="G328" s="92">
        <f>EXP($C$12+$C$8*_xlfn.NORM.S.INV(RAND()))</f>
        <v/>
      </c>
    </row>
    <row r="329">
      <c r="F329">
        <f>F328+1</f>
        <v/>
      </c>
      <c r="G329" s="92">
        <f>EXP($C$12+$C$8*_xlfn.NORM.S.INV(RAND()))</f>
        <v/>
      </c>
    </row>
    <row r="330">
      <c r="F330">
        <f>F329+1</f>
        <v/>
      </c>
      <c r="G330" s="92">
        <f>EXP($C$12+$C$8*_xlfn.NORM.S.INV(RAND()))</f>
        <v/>
      </c>
    </row>
    <row r="331">
      <c r="F331">
        <f>F330+1</f>
        <v/>
      </c>
      <c r="G331" s="92">
        <f>EXP($C$12+$C$8*_xlfn.NORM.S.INV(RAND()))</f>
        <v/>
      </c>
    </row>
    <row r="332">
      <c r="F332">
        <f>F331+1</f>
        <v/>
      </c>
      <c r="G332" s="92">
        <f>EXP($C$12+$C$8*_xlfn.NORM.S.INV(RAND()))</f>
        <v/>
      </c>
    </row>
    <row r="333">
      <c r="F333">
        <f>F332+1</f>
        <v/>
      </c>
      <c r="G333" s="92">
        <f>EXP($C$12+$C$8*_xlfn.NORM.S.INV(RAND()))</f>
        <v/>
      </c>
    </row>
    <row r="334">
      <c r="F334">
        <f>F333+1</f>
        <v/>
      </c>
      <c r="G334" s="92">
        <f>EXP($C$12+$C$8*_xlfn.NORM.S.INV(RAND()))</f>
        <v/>
      </c>
    </row>
    <row r="335">
      <c r="F335">
        <f>F334+1</f>
        <v/>
      </c>
      <c r="G335" s="92">
        <f>EXP($C$12+$C$8*_xlfn.NORM.S.INV(RAND()))</f>
        <v/>
      </c>
    </row>
    <row r="336">
      <c r="F336">
        <f>F335+1</f>
        <v/>
      </c>
      <c r="G336" s="92">
        <f>EXP($C$12+$C$8*_xlfn.NORM.S.INV(RAND()))</f>
        <v/>
      </c>
    </row>
    <row r="337">
      <c r="F337">
        <f>F336+1</f>
        <v/>
      </c>
      <c r="G337" s="92">
        <f>EXP($C$12+$C$8*_xlfn.NORM.S.INV(RAND()))</f>
        <v/>
      </c>
    </row>
    <row r="338">
      <c r="F338">
        <f>F337+1</f>
        <v/>
      </c>
      <c r="G338" s="92">
        <f>EXP($C$12+$C$8*_xlfn.NORM.S.INV(RAND()))</f>
        <v/>
      </c>
    </row>
    <row r="339">
      <c r="F339">
        <f>F338+1</f>
        <v/>
      </c>
      <c r="G339" s="92">
        <f>EXP($C$12+$C$8*_xlfn.NORM.S.INV(RAND()))</f>
        <v/>
      </c>
    </row>
    <row r="340">
      <c r="F340">
        <f>F339+1</f>
        <v/>
      </c>
      <c r="G340" s="92">
        <f>EXP($C$12+$C$8*_xlfn.NORM.S.INV(RAND()))</f>
        <v/>
      </c>
    </row>
    <row r="341">
      <c r="F341">
        <f>F340+1</f>
        <v/>
      </c>
      <c r="G341" s="92">
        <f>EXP($C$12+$C$8*_xlfn.NORM.S.INV(RAND()))</f>
        <v/>
      </c>
    </row>
    <row r="342">
      <c r="F342">
        <f>F341+1</f>
        <v/>
      </c>
      <c r="G342" s="92">
        <f>EXP($C$12+$C$8*_xlfn.NORM.S.INV(RAND()))</f>
        <v/>
      </c>
    </row>
    <row r="343">
      <c r="F343">
        <f>F342+1</f>
        <v/>
      </c>
      <c r="G343" s="92">
        <f>EXP($C$12+$C$8*_xlfn.NORM.S.INV(RAND()))</f>
        <v/>
      </c>
    </row>
    <row r="344">
      <c r="F344">
        <f>F343+1</f>
        <v/>
      </c>
      <c r="G344" s="92">
        <f>EXP($C$12+$C$8*_xlfn.NORM.S.INV(RAND()))</f>
        <v/>
      </c>
    </row>
    <row r="345">
      <c r="F345">
        <f>F344+1</f>
        <v/>
      </c>
      <c r="G345" s="92">
        <f>EXP($C$12+$C$8*_xlfn.NORM.S.INV(RAND()))</f>
        <v/>
      </c>
    </row>
    <row r="346">
      <c r="F346">
        <f>F345+1</f>
        <v/>
      </c>
      <c r="G346" s="92">
        <f>EXP($C$12+$C$8*_xlfn.NORM.S.INV(RAND()))</f>
        <v/>
      </c>
    </row>
    <row r="347">
      <c r="F347">
        <f>F346+1</f>
        <v/>
      </c>
      <c r="G347" s="92">
        <f>EXP($C$12+$C$8*_xlfn.NORM.S.INV(RAND()))</f>
        <v/>
      </c>
    </row>
    <row r="348">
      <c r="F348">
        <f>F347+1</f>
        <v/>
      </c>
      <c r="G348" s="92">
        <f>EXP($C$12+$C$8*_xlfn.NORM.S.INV(RAND()))</f>
        <v/>
      </c>
    </row>
    <row r="349">
      <c r="F349">
        <f>F348+1</f>
        <v/>
      </c>
      <c r="G349" s="92">
        <f>EXP($C$12+$C$8*_xlfn.NORM.S.INV(RAND()))</f>
        <v/>
      </c>
    </row>
    <row r="350">
      <c r="F350">
        <f>F349+1</f>
        <v/>
      </c>
      <c r="G350" s="92">
        <f>EXP($C$12+$C$8*_xlfn.NORM.S.INV(RAND()))</f>
        <v/>
      </c>
    </row>
    <row r="351">
      <c r="F351">
        <f>F350+1</f>
        <v/>
      </c>
      <c r="G351" s="92">
        <f>EXP($C$12+$C$8*_xlfn.NORM.S.INV(RAND()))</f>
        <v/>
      </c>
    </row>
    <row r="352">
      <c r="F352">
        <f>F351+1</f>
        <v/>
      </c>
      <c r="G352" s="92">
        <f>EXP($C$12+$C$8*_xlfn.NORM.S.INV(RAND()))</f>
        <v/>
      </c>
    </row>
    <row r="353">
      <c r="F353">
        <f>F352+1</f>
        <v/>
      </c>
      <c r="G353" s="92">
        <f>EXP($C$12+$C$8*_xlfn.NORM.S.INV(RAND()))</f>
        <v/>
      </c>
    </row>
    <row r="354">
      <c r="F354">
        <f>F353+1</f>
        <v/>
      </c>
      <c r="G354" s="92">
        <f>EXP($C$12+$C$8*_xlfn.NORM.S.INV(RAND()))</f>
        <v/>
      </c>
    </row>
    <row r="355">
      <c r="F355">
        <f>F354+1</f>
        <v/>
      </c>
      <c r="G355" s="92">
        <f>EXP($C$12+$C$8*_xlfn.NORM.S.INV(RAND()))</f>
        <v/>
      </c>
    </row>
    <row r="356">
      <c r="F356">
        <f>F355+1</f>
        <v/>
      </c>
      <c r="G356" s="92">
        <f>EXP($C$12+$C$8*_xlfn.NORM.S.INV(RAND()))</f>
        <v/>
      </c>
    </row>
    <row r="357">
      <c r="F357">
        <f>F356+1</f>
        <v/>
      </c>
      <c r="G357" s="92">
        <f>EXP($C$12+$C$8*_xlfn.NORM.S.INV(RAND()))</f>
        <v/>
      </c>
    </row>
    <row r="358">
      <c r="F358">
        <f>F357+1</f>
        <v/>
      </c>
      <c r="G358" s="92">
        <f>EXP($C$12+$C$8*_xlfn.NORM.S.INV(RAND()))</f>
        <v/>
      </c>
    </row>
    <row r="359">
      <c r="F359">
        <f>F358+1</f>
        <v/>
      </c>
      <c r="G359" s="92">
        <f>EXP($C$12+$C$8*_xlfn.NORM.S.INV(RAND()))</f>
        <v/>
      </c>
    </row>
    <row r="360">
      <c r="F360">
        <f>F359+1</f>
        <v/>
      </c>
      <c r="G360" s="92">
        <f>EXP($C$12+$C$8*_xlfn.NORM.S.INV(RAND()))</f>
        <v/>
      </c>
    </row>
    <row r="361">
      <c r="F361">
        <f>F360+1</f>
        <v/>
      </c>
      <c r="G361" s="92">
        <f>EXP($C$12+$C$8*_xlfn.NORM.S.INV(RAND()))</f>
        <v/>
      </c>
    </row>
    <row r="362">
      <c r="F362">
        <f>F361+1</f>
        <v/>
      </c>
      <c r="G362" s="92">
        <f>EXP($C$12+$C$8*_xlfn.NORM.S.INV(RAND()))</f>
        <v/>
      </c>
    </row>
    <row r="363">
      <c r="F363">
        <f>F362+1</f>
        <v/>
      </c>
      <c r="G363" s="92">
        <f>EXP($C$12+$C$8*_xlfn.NORM.S.INV(RAND()))</f>
        <v/>
      </c>
    </row>
    <row r="364">
      <c r="F364">
        <f>F363+1</f>
        <v/>
      </c>
      <c r="G364" s="92">
        <f>EXP($C$12+$C$8*_xlfn.NORM.S.INV(RAND()))</f>
        <v/>
      </c>
    </row>
    <row r="365">
      <c r="F365">
        <f>F364+1</f>
        <v/>
      </c>
      <c r="G365" s="92">
        <f>EXP($C$12+$C$8*_xlfn.NORM.S.INV(RAND()))</f>
        <v/>
      </c>
    </row>
    <row r="366">
      <c r="F366">
        <f>F365+1</f>
        <v/>
      </c>
      <c r="G366" s="92">
        <f>EXP($C$12+$C$8*_xlfn.NORM.S.INV(RAND()))</f>
        <v/>
      </c>
    </row>
    <row r="367">
      <c r="F367">
        <f>F366+1</f>
        <v/>
      </c>
      <c r="G367" s="92">
        <f>EXP($C$12+$C$8*_xlfn.NORM.S.INV(RAND()))</f>
        <v/>
      </c>
    </row>
    <row r="368">
      <c r="F368">
        <f>F367+1</f>
        <v/>
      </c>
      <c r="G368" s="92">
        <f>EXP($C$12+$C$8*_xlfn.NORM.S.INV(RAND()))</f>
        <v/>
      </c>
    </row>
    <row r="369">
      <c r="F369">
        <f>F368+1</f>
        <v/>
      </c>
      <c r="G369" s="92">
        <f>EXP($C$12+$C$8*_xlfn.NORM.S.INV(RAND()))</f>
        <v/>
      </c>
    </row>
    <row r="370">
      <c r="F370">
        <f>F369+1</f>
        <v/>
      </c>
      <c r="G370" s="92">
        <f>EXP($C$12+$C$8*_xlfn.NORM.S.INV(RAND()))</f>
        <v/>
      </c>
    </row>
    <row r="371">
      <c r="F371">
        <f>F370+1</f>
        <v/>
      </c>
      <c r="G371" s="92">
        <f>EXP($C$12+$C$8*_xlfn.NORM.S.INV(RAND()))</f>
        <v/>
      </c>
    </row>
    <row r="372">
      <c r="F372">
        <f>F371+1</f>
        <v/>
      </c>
      <c r="G372" s="92">
        <f>EXP($C$12+$C$8*_xlfn.NORM.S.INV(RAND()))</f>
        <v/>
      </c>
    </row>
    <row r="373">
      <c r="F373">
        <f>F372+1</f>
        <v/>
      </c>
      <c r="G373" s="92">
        <f>EXP($C$12+$C$8*_xlfn.NORM.S.INV(RAND()))</f>
        <v/>
      </c>
    </row>
    <row r="374">
      <c r="F374">
        <f>F373+1</f>
        <v/>
      </c>
      <c r="G374" s="92">
        <f>EXP($C$12+$C$8*_xlfn.NORM.S.INV(RAND()))</f>
        <v/>
      </c>
    </row>
    <row r="375">
      <c r="F375">
        <f>F374+1</f>
        <v/>
      </c>
      <c r="G375" s="92">
        <f>EXP($C$12+$C$8*_xlfn.NORM.S.INV(RAND()))</f>
        <v/>
      </c>
    </row>
    <row r="376">
      <c r="F376">
        <f>F375+1</f>
        <v/>
      </c>
      <c r="G376" s="92">
        <f>EXP($C$12+$C$8*_xlfn.NORM.S.INV(RAND()))</f>
        <v/>
      </c>
    </row>
    <row r="377">
      <c r="F377">
        <f>F376+1</f>
        <v/>
      </c>
      <c r="G377" s="92">
        <f>EXP($C$12+$C$8*_xlfn.NORM.S.INV(RAND()))</f>
        <v/>
      </c>
    </row>
    <row r="378">
      <c r="F378">
        <f>F377+1</f>
        <v/>
      </c>
      <c r="G378" s="92">
        <f>EXP($C$12+$C$8*_xlfn.NORM.S.INV(RAND()))</f>
        <v/>
      </c>
    </row>
    <row r="379">
      <c r="F379">
        <f>F378+1</f>
        <v/>
      </c>
      <c r="G379" s="92">
        <f>EXP($C$12+$C$8*_xlfn.NORM.S.INV(RAND()))</f>
        <v/>
      </c>
    </row>
    <row r="380">
      <c r="F380">
        <f>F379+1</f>
        <v/>
      </c>
      <c r="G380" s="92">
        <f>EXP($C$12+$C$8*_xlfn.NORM.S.INV(RAND()))</f>
        <v/>
      </c>
    </row>
    <row r="381">
      <c r="F381">
        <f>F380+1</f>
        <v/>
      </c>
      <c r="G381" s="92">
        <f>EXP($C$12+$C$8*_xlfn.NORM.S.INV(RAND()))</f>
        <v/>
      </c>
    </row>
    <row r="382">
      <c r="F382">
        <f>F381+1</f>
        <v/>
      </c>
      <c r="G382" s="92">
        <f>EXP($C$12+$C$8*_xlfn.NORM.S.INV(RAND()))</f>
        <v/>
      </c>
    </row>
    <row r="383">
      <c r="F383">
        <f>F382+1</f>
        <v/>
      </c>
      <c r="G383" s="92">
        <f>EXP($C$12+$C$8*_xlfn.NORM.S.INV(RAND()))</f>
        <v/>
      </c>
    </row>
    <row r="384">
      <c r="F384">
        <f>F383+1</f>
        <v/>
      </c>
      <c r="G384" s="92">
        <f>EXP($C$12+$C$8*_xlfn.NORM.S.INV(RAND()))</f>
        <v/>
      </c>
    </row>
    <row r="385">
      <c r="F385">
        <f>F384+1</f>
        <v/>
      </c>
      <c r="G385" s="92">
        <f>EXP($C$12+$C$8*_xlfn.NORM.S.INV(RAND()))</f>
        <v/>
      </c>
    </row>
    <row r="386">
      <c r="F386">
        <f>F385+1</f>
        <v/>
      </c>
      <c r="G386" s="92">
        <f>EXP($C$12+$C$8*_xlfn.NORM.S.INV(RAND()))</f>
        <v/>
      </c>
    </row>
    <row r="387">
      <c r="F387">
        <f>F386+1</f>
        <v/>
      </c>
      <c r="G387" s="92">
        <f>EXP($C$12+$C$8*_xlfn.NORM.S.INV(RAND()))</f>
        <v/>
      </c>
    </row>
    <row r="388">
      <c r="F388">
        <f>F387+1</f>
        <v/>
      </c>
      <c r="G388" s="92">
        <f>EXP($C$12+$C$8*_xlfn.NORM.S.INV(RAND()))</f>
        <v/>
      </c>
    </row>
    <row r="389">
      <c r="F389">
        <f>F388+1</f>
        <v/>
      </c>
      <c r="G389" s="92">
        <f>EXP($C$12+$C$8*_xlfn.NORM.S.INV(RAND()))</f>
        <v/>
      </c>
    </row>
    <row r="390">
      <c r="F390">
        <f>F389+1</f>
        <v/>
      </c>
      <c r="G390" s="92">
        <f>EXP($C$12+$C$8*_xlfn.NORM.S.INV(RAND()))</f>
        <v/>
      </c>
    </row>
    <row r="391">
      <c r="F391">
        <f>F390+1</f>
        <v/>
      </c>
      <c r="G391" s="92">
        <f>EXP($C$12+$C$8*_xlfn.NORM.S.INV(RAND()))</f>
        <v/>
      </c>
    </row>
    <row r="392">
      <c r="F392">
        <f>F391+1</f>
        <v/>
      </c>
      <c r="G392" s="92">
        <f>EXP($C$12+$C$8*_xlfn.NORM.S.INV(RAND()))</f>
        <v/>
      </c>
    </row>
    <row r="393">
      <c r="F393">
        <f>F392+1</f>
        <v/>
      </c>
      <c r="G393" s="92">
        <f>EXP($C$12+$C$8*_xlfn.NORM.S.INV(RAND()))</f>
        <v/>
      </c>
    </row>
    <row r="394">
      <c r="F394">
        <f>F393+1</f>
        <v/>
      </c>
      <c r="G394" s="92">
        <f>EXP($C$12+$C$8*_xlfn.NORM.S.INV(RAND()))</f>
        <v/>
      </c>
    </row>
    <row r="395">
      <c r="F395">
        <f>F394+1</f>
        <v/>
      </c>
      <c r="G395" s="92">
        <f>EXP($C$12+$C$8*_xlfn.NORM.S.INV(RAND()))</f>
        <v/>
      </c>
    </row>
    <row r="396">
      <c r="F396">
        <f>F395+1</f>
        <v/>
      </c>
      <c r="G396" s="92">
        <f>EXP($C$12+$C$8*_xlfn.NORM.S.INV(RAND()))</f>
        <v/>
      </c>
    </row>
    <row r="397">
      <c r="F397">
        <f>F396+1</f>
        <v/>
      </c>
      <c r="G397" s="92">
        <f>EXP($C$12+$C$8*_xlfn.NORM.S.INV(RAND()))</f>
        <v/>
      </c>
    </row>
    <row r="398">
      <c r="F398">
        <f>F397+1</f>
        <v/>
      </c>
      <c r="G398" s="92">
        <f>EXP($C$12+$C$8*_xlfn.NORM.S.INV(RAND()))</f>
        <v/>
      </c>
    </row>
    <row r="399">
      <c r="F399">
        <f>F398+1</f>
        <v/>
      </c>
      <c r="G399" s="92">
        <f>EXP($C$12+$C$8*_xlfn.NORM.S.INV(RAND()))</f>
        <v/>
      </c>
    </row>
    <row r="400">
      <c r="F400">
        <f>F399+1</f>
        <v/>
      </c>
      <c r="G400" s="92">
        <f>EXP($C$12+$C$8*_xlfn.NORM.S.INV(RAND()))</f>
        <v/>
      </c>
    </row>
    <row r="401">
      <c r="F401">
        <f>F400+1</f>
        <v/>
      </c>
      <c r="G401" s="92">
        <f>EXP($C$12+$C$8*_xlfn.NORM.S.INV(RAND()))</f>
        <v/>
      </c>
    </row>
    <row r="402">
      <c r="F402">
        <f>F401+1</f>
        <v/>
      </c>
      <c r="G402" s="92">
        <f>EXP($C$12+$C$8*_xlfn.NORM.S.INV(RAND()))</f>
        <v/>
      </c>
    </row>
    <row r="403">
      <c r="F403">
        <f>F402+1</f>
        <v/>
      </c>
      <c r="G403" s="92">
        <f>EXP($C$12+$C$8*_xlfn.NORM.S.INV(RAND()))</f>
        <v/>
      </c>
    </row>
    <row r="404">
      <c r="F404">
        <f>F403+1</f>
        <v/>
      </c>
      <c r="G404" s="92">
        <f>EXP($C$12+$C$8*_xlfn.NORM.S.INV(RAND()))</f>
        <v/>
      </c>
    </row>
    <row r="405">
      <c r="F405">
        <f>F404+1</f>
        <v/>
      </c>
      <c r="G405" s="92">
        <f>EXP($C$12+$C$8*_xlfn.NORM.S.INV(RAND()))</f>
        <v/>
      </c>
    </row>
    <row r="406">
      <c r="F406">
        <f>F405+1</f>
        <v/>
      </c>
      <c r="G406" s="92">
        <f>EXP($C$12+$C$8*_xlfn.NORM.S.INV(RAND()))</f>
        <v/>
      </c>
    </row>
    <row r="407">
      <c r="F407">
        <f>F406+1</f>
        <v/>
      </c>
      <c r="G407" s="92">
        <f>EXP($C$12+$C$8*_xlfn.NORM.S.INV(RAND()))</f>
        <v/>
      </c>
    </row>
    <row r="408">
      <c r="F408">
        <f>F407+1</f>
        <v/>
      </c>
      <c r="G408" s="92">
        <f>EXP($C$12+$C$8*_xlfn.NORM.S.INV(RAND()))</f>
        <v/>
      </c>
    </row>
    <row r="409">
      <c r="F409">
        <f>F408+1</f>
        <v/>
      </c>
      <c r="G409" s="92">
        <f>EXP($C$12+$C$8*_xlfn.NORM.S.INV(RAND()))</f>
        <v/>
      </c>
    </row>
    <row r="410">
      <c r="F410">
        <f>F409+1</f>
        <v/>
      </c>
      <c r="G410" s="92">
        <f>EXP($C$12+$C$8*_xlfn.NORM.S.INV(RAND()))</f>
        <v/>
      </c>
    </row>
    <row r="411">
      <c r="F411">
        <f>F410+1</f>
        <v/>
      </c>
      <c r="G411" s="92">
        <f>EXP($C$12+$C$8*_xlfn.NORM.S.INV(RAND()))</f>
        <v/>
      </c>
    </row>
    <row r="412">
      <c r="F412">
        <f>F411+1</f>
        <v/>
      </c>
      <c r="G412" s="92">
        <f>EXP($C$12+$C$8*_xlfn.NORM.S.INV(RAND()))</f>
        <v/>
      </c>
    </row>
    <row r="413">
      <c r="F413">
        <f>F412+1</f>
        <v/>
      </c>
      <c r="G413" s="92">
        <f>EXP($C$12+$C$8*_xlfn.NORM.S.INV(RAND()))</f>
        <v/>
      </c>
    </row>
    <row r="414">
      <c r="F414">
        <f>F413+1</f>
        <v/>
      </c>
      <c r="G414" s="92">
        <f>EXP($C$12+$C$8*_xlfn.NORM.S.INV(RAND()))</f>
        <v/>
      </c>
    </row>
    <row r="415">
      <c r="F415">
        <f>F414+1</f>
        <v/>
      </c>
      <c r="G415" s="92">
        <f>EXP($C$12+$C$8*_xlfn.NORM.S.INV(RAND()))</f>
        <v/>
      </c>
    </row>
    <row r="416">
      <c r="F416">
        <f>F415+1</f>
        <v/>
      </c>
      <c r="G416" s="92">
        <f>EXP($C$12+$C$8*_xlfn.NORM.S.INV(RAND()))</f>
        <v/>
      </c>
    </row>
    <row r="417">
      <c r="F417">
        <f>F416+1</f>
        <v/>
      </c>
      <c r="G417" s="92">
        <f>EXP($C$12+$C$8*_xlfn.NORM.S.INV(RAND()))</f>
        <v/>
      </c>
    </row>
    <row r="418">
      <c r="F418">
        <f>F417+1</f>
        <v/>
      </c>
      <c r="G418" s="92">
        <f>EXP($C$12+$C$8*_xlfn.NORM.S.INV(RAND()))</f>
        <v/>
      </c>
    </row>
    <row r="419">
      <c r="F419">
        <f>F418+1</f>
        <v/>
      </c>
      <c r="G419" s="92">
        <f>EXP($C$12+$C$8*_xlfn.NORM.S.INV(RAND()))</f>
        <v/>
      </c>
    </row>
    <row r="420">
      <c r="F420">
        <f>F419+1</f>
        <v/>
      </c>
      <c r="G420" s="92">
        <f>EXP($C$12+$C$8*_xlfn.NORM.S.INV(RAND()))</f>
        <v/>
      </c>
    </row>
    <row r="421">
      <c r="F421">
        <f>F420+1</f>
        <v/>
      </c>
      <c r="G421" s="92">
        <f>EXP($C$12+$C$8*_xlfn.NORM.S.INV(RAND()))</f>
        <v/>
      </c>
    </row>
    <row r="422">
      <c r="F422">
        <f>F421+1</f>
        <v/>
      </c>
      <c r="G422" s="92">
        <f>EXP($C$12+$C$8*_xlfn.NORM.S.INV(RAND()))</f>
        <v/>
      </c>
    </row>
    <row r="423">
      <c r="F423">
        <f>F422+1</f>
        <v/>
      </c>
      <c r="G423" s="92">
        <f>EXP($C$12+$C$8*_xlfn.NORM.S.INV(RAND()))</f>
        <v/>
      </c>
    </row>
    <row r="424">
      <c r="F424">
        <f>F423+1</f>
        <v/>
      </c>
      <c r="G424" s="92">
        <f>EXP($C$12+$C$8*_xlfn.NORM.S.INV(RAND()))</f>
        <v/>
      </c>
    </row>
    <row r="425">
      <c r="F425">
        <f>F424+1</f>
        <v/>
      </c>
      <c r="G425" s="92">
        <f>EXP($C$12+$C$8*_xlfn.NORM.S.INV(RAND()))</f>
        <v/>
      </c>
    </row>
    <row r="426">
      <c r="F426">
        <f>F425+1</f>
        <v/>
      </c>
      <c r="G426" s="92">
        <f>EXP($C$12+$C$8*_xlfn.NORM.S.INV(RAND()))</f>
        <v/>
      </c>
    </row>
    <row r="427">
      <c r="F427">
        <f>F426+1</f>
        <v/>
      </c>
      <c r="G427" s="92">
        <f>EXP($C$12+$C$8*_xlfn.NORM.S.INV(RAND()))</f>
        <v/>
      </c>
    </row>
    <row r="428">
      <c r="F428">
        <f>F427+1</f>
        <v/>
      </c>
      <c r="G428" s="92">
        <f>EXP($C$12+$C$8*_xlfn.NORM.S.INV(RAND()))</f>
        <v/>
      </c>
    </row>
    <row r="429">
      <c r="F429">
        <f>F428+1</f>
        <v/>
      </c>
      <c r="G429" s="92">
        <f>EXP($C$12+$C$8*_xlfn.NORM.S.INV(RAND()))</f>
        <v/>
      </c>
    </row>
    <row r="430">
      <c r="F430">
        <f>F429+1</f>
        <v/>
      </c>
      <c r="G430" s="92">
        <f>EXP($C$12+$C$8*_xlfn.NORM.S.INV(RAND()))</f>
        <v/>
      </c>
    </row>
    <row r="431">
      <c r="F431">
        <f>F430+1</f>
        <v/>
      </c>
      <c r="G431" s="92">
        <f>EXP($C$12+$C$8*_xlfn.NORM.S.INV(RAND()))</f>
        <v/>
      </c>
    </row>
    <row r="432">
      <c r="F432">
        <f>F431+1</f>
        <v/>
      </c>
      <c r="G432" s="92">
        <f>EXP($C$12+$C$8*_xlfn.NORM.S.INV(RAND()))</f>
        <v/>
      </c>
    </row>
    <row r="433">
      <c r="F433">
        <f>F432+1</f>
        <v/>
      </c>
      <c r="G433" s="92">
        <f>EXP($C$12+$C$8*_xlfn.NORM.S.INV(RAND()))</f>
        <v/>
      </c>
    </row>
    <row r="434">
      <c r="F434">
        <f>F433+1</f>
        <v/>
      </c>
      <c r="G434" s="92">
        <f>EXP($C$12+$C$8*_xlfn.NORM.S.INV(RAND()))</f>
        <v/>
      </c>
    </row>
    <row r="435">
      <c r="F435">
        <f>F434+1</f>
        <v/>
      </c>
      <c r="G435" s="92">
        <f>EXP($C$12+$C$8*_xlfn.NORM.S.INV(RAND()))</f>
        <v/>
      </c>
    </row>
    <row r="436">
      <c r="F436">
        <f>F435+1</f>
        <v/>
      </c>
      <c r="G436" s="92">
        <f>EXP($C$12+$C$8*_xlfn.NORM.S.INV(RAND()))</f>
        <v/>
      </c>
    </row>
    <row r="437">
      <c r="F437">
        <f>F436+1</f>
        <v/>
      </c>
      <c r="G437" s="92">
        <f>EXP($C$12+$C$8*_xlfn.NORM.S.INV(RAND()))</f>
        <v/>
      </c>
    </row>
    <row r="438">
      <c r="F438">
        <f>F437+1</f>
        <v/>
      </c>
      <c r="G438" s="92">
        <f>EXP($C$12+$C$8*_xlfn.NORM.S.INV(RAND()))</f>
        <v/>
      </c>
    </row>
    <row r="439">
      <c r="F439">
        <f>F438+1</f>
        <v/>
      </c>
      <c r="G439" s="92">
        <f>EXP($C$12+$C$8*_xlfn.NORM.S.INV(RAND()))</f>
        <v/>
      </c>
    </row>
    <row r="440">
      <c r="F440">
        <f>F439+1</f>
        <v/>
      </c>
      <c r="G440" s="92">
        <f>EXP($C$12+$C$8*_xlfn.NORM.S.INV(RAND()))</f>
        <v/>
      </c>
    </row>
    <row r="441">
      <c r="F441">
        <f>F440+1</f>
        <v/>
      </c>
      <c r="G441" s="92">
        <f>EXP($C$12+$C$8*_xlfn.NORM.S.INV(RAND()))</f>
        <v/>
      </c>
    </row>
    <row r="442">
      <c r="F442">
        <f>F441+1</f>
        <v/>
      </c>
      <c r="G442" s="92">
        <f>EXP($C$12+$C$8*_xlfn.NORM.S.INV(RAND()))</f>
        <v/>
      </c>
    </row>
    <row r="443">
      <c r="F443">
        <f>F442+1</f>
        <v/>
      </c>
      <c r="G443" s="92">
        <f>EXP($C$12+$C$8*_xlfn.NORM.S.INV(RAND()))</f>
        <v/>
      </c>
    </row>
    <row r="444">
      <c r="F444">
        <f>F443+1</f>
        <v/>
      </c>
      <c r="G444" s="92">
        <f>EXP($C$12+$C$8*_xlfn.NORM.S.INV(RAND()))</f>
        <v/>
      </c>
    </row>
    <row r="445">
      <c r="F445">
        <f>F444+1</f>
        <v/>
      </c>
      <c r="G445" s="92">
        <f>EXP($C$12+$C$8*_xlfn.NORM.S.INV(RAND()))</f>
        <v/>
      </c>
    </row>
    <row r="446">
      <c r="F446">
        <f>F445+1</f>
        <v/>
      </c>
      <c r="G446" s="92">
        <f>EXP($C$12+$C$8*_xlfn.NORM.S.INV(RAND()))</f>
        <v/>
      </c>
    </row>
    <row r="447">
      <c r="F447">
        <f>F446+1</f>
        <v/>
      </c>
      <c r="G447" s="92">
        <f>EXP($C$12+$C$8*_xlfn.NORM.S.INV(RAND()))</f>
        <v/>
      </c>
    </row>
    <row r="448">
      <c r="F448">
        <f>F447+1</f>
        <v/>
      </c>
      <c r="G448" s="92">
        <f>EXP($C$12+$C$8*_xlfn.NORM.S.INV(RAND()))</f>
        <v/>
      </c>
    </row>
    <row r="449">
      <c r="F449">
        <f>F448+1</f>
        <v/>
      </c>
      <c r="G449" s="92">
        <f>EXP($C$12+$C$8*_xlfn.NORM.S.INV(RAND()))</f>
        <v/>
      </c>
    </row>
    <row r="450">
      <c r="F450">
        <f>F449+1</f>
        <v/>
      </c>
      <c r="G450" s="92">
        <f>EXP($C$12+$C$8*_xlfn.NORM.S.INV(RAND()))</f>
        <v/>
      </c>
    </row>
    <row r="451">
      <c r="F451">
        <f>F450+1</f>
        <v/>
      </c>
      <c r="G451" s="92">
        <f>EXP($C$12+$C$8*_xlfn.NORM.S.INV(RAND()))</f>
        <v/>
      </c>
    </row>
    <row r="452">
      <c r="F452">
        <f>F451+1</f>
        <v/>
      </c>
      <c r="G452" s="92">
        <f>EXP($C$12+$C$8*_xlfn.NORM.S.INV(RAND()))</f>
        <v/>
      </c>
    </row>
    <row r="453">
      <c r="F453">
        <f>F452+1</f>
        <v/>
      </c>
      <c r="G453" s="92">
        <f>EXP($C$12+$C$8*_xlfn.NORM.S.INV(RAND()))</f>
        <v/>
      </c>
    </row>
    <row r="454">
      <c r="F454">
        <f>F453+1</f>
        <v/>
      </c>
      <c r="G454" s="92">
        <f>EXP($C$12+$C$8*_xlfn.NORM.S.INV(RAND()))</f>
        <v/>
      </c>
    </row>
    <row r="455">
      <c r="F455">
        <f>F454+1</f>
        <v/>
      </c>
      <c r="G455" s="92">
        <f>EXP($C$12+$C$8*_xlfn.NORM.S.INV(RAND()))</f>
        <v/>
      </c>
    </row>
    <row r="456">
      <c r="F456">
        <f>F455+1</f>
        <v/>
      </c>
      <c r="G456" s="92">
        <f>EXP($C$12+$C$8*_xlfn.NORM.S.INV(RAND()))</f>
        <v/>
      </c>
    </row>
    <row r="457">
      <c r="F457">
        <f>F456+1</f>
        <v/>
      </c>
      <c r="G457" s="92">
        <f>EXP($C$12+$C$8*_xlfn.NORM.S.INV(RAND()))</f>
        <v/>
      </c>
    </row>
    <row r="458">
      <c r="F458">
        <f>F457+1</f>
        <v/>
      </c>
      <c r="G458" s="92">
        <f>EXP($C$12+$C$8*_xlfn.NORM.S.INV(RAND()))</f>
        <v/>
      </c>
    </row>
    <row r="459">
      <c r="F459">
        <f>F458+1</f>
        <v/>
      </c>
      <c r="G459" s="92">
        <f>EXP($C$12+$C$8*_xlfn.NORM.S.INV(RAND()))</f>
        <v/>
      </c>
    </row>
    <row r="460">
      <c r="F460">
        <f>F459+1</f>
        <v/>
      </c>
      <c r="G460" s="92">
        <f>EXP($C$12+$C$8*_xlfn.NORM.S.INV(RAND()))</f>
        <v/>
      </c>
    </row>
    <row r="461">
      <c r="F461">
        <f>F460+1</f>
        <v/>
      </c>
      <c r="G461" s="92">
        <f>EXP($C$12+$C$8*_xlfn.NORM.S.INV(RAND()))</f>
        <v/>
      </c>
    </row>
    <row r="462">
      <c r="F462">
        <f>F461+1</f>
        <v/>
      </c>
      <c r="G462" s="92">
        <f>EXP($C$12+$C$8*_xlfn.NORM.S.INV(RAND()))</f>
        <v/>
      </c>
    </row>
    <row r="463">
      <c r="F463">
        <f>F462+1</f>
        <v/>
      </c>
      <c r="G463" s="92">
        <f>EXP($C$12+$C$8*_xlfn.NORM.S.INV(RAND()))</f>
        <v/>
      </c>
    </row>
    <row r="464">
      <c r="F464">
        <f>F463+1</f>
        <v/>
      </c>
      <c r="G464" s="92">
        <f>EXP($C$12+$C$8*_xlfn.NORM.S.INV(RAND()))</f>
        <v/>
      </c>
    </row>
    <row r="465">
      <c r="F465">
        <f>F464+1</f>
        <v/>
      </c>
      <c r="G465" s="92">
        <f>EXP($C$12+$C$8*_xlfn.NORM.S.INV(RAND()))</f>
        <v/>
      </c>
    </row>
    <row r="466">
      <c r="F466">
        <f>F465+1</f>
        <v/>
      </c>
      <c r="G466" s="92">
        <f>EXP($C$12+$C$8*_xlfn.NORM.S.INV(RAND()))</f>
        <v/>
      </c>
    </row>
    <row r="467">
      <c r="F467">
        <f>F466+1</f>
        <v/>
      </c>
      <c r="G467" s="92">
        <f>EXP($C$12+$C$8*_xlfn.NORM.S.INV(RAND()))</f>
        <v/>
      </c>
    </row>
    <row r="468">
      <c r="F468">
        <f>F467+1</f>
        <v/>
      </c>
      <c r="G468" s="92">
        <f>EXP($C$12+$C$8*_xlfn.NORM.S.INV(RAND()))</f>
        <v/>
      </c>
    </row>
    <row r="469">
      <c r="F469">
        <f>F468+1</f>
        <v/>
      </c>
      <c r="G469" s="92">
        <f>EXP($C$12+$C$8*_xlfn.NORM.S.INV(RAND()))</f>
        <v/>
      </c>
    </row>
    <row r="470">
      <c r="F470">
        <f>F469+1</f>
        <v/>
      </c>
      <c r="G470" s="92">
        <f>EXP($C$12+$C$8*_xlfn.NORM.S.INV(RAND()))</f>
        <v/>
      </c>
    </row>
    <row r="471">
      <c r="F471">
        <f>F470+1</f>
        <v/>
      </c>
      <c r="G471" s="92">
        <f>EXP($C$12+$C$8*_xlfn.NORM.S.INV(RAND()))</f>
        <v/>
      </c>
    </row>
    <row r="472">
      <c r="F472">
        <f>F471+1</f>
        <v/>
      </c>
      <c r="G472" s="92">
        <f>EXP($C$12+$C$8*_xlfn.NORM.S.INV(RAND()))</f>
        <v/>
      </c>
    </row>
    <row r="473">
      <c r="F473">
        <f>F472+1</f>
        <v/>
      </c>
      <c r="G473" s="92">
        <f>EXP($C$12+$C$8*_xlfn.NORM.S.INV(RAND()))</f>
        <v/>
      </c>
    </row>
    <row r="474">
      <c r="F474">
        <f>F473+1</f>
        <v/>
      </c>
      <c r="G474" s="92">
        <f>EXP($C$12+$C$8*_xlfn.NORM.S.INV(RAND()))</f>
        <v/>
      </c>
    </row>
    <row r="475">
      <c r="F475">
        <f>F474+1</f>
        <v/>
      </c>
      <c r="G475" s="92">
        <f>EXP($C$12+$C$8*_xlfn.NORM.S.INV(RAND()))</f>
        <v/>
      </c>
    </row>
    <row r="476">
      <c r="F476">
        <f>F475+1</f>
        <v/>
      </c>
      <c r="G476" s="92">
        <f>EXP($C$12+$C$8*_xlfn.NORM.S.INV(RAND()))</f>
        <v/>
      </c>
    </row>
    <row r="477">
      <c r="F477">
        <f>F476+1</f>
        <v/>
      </c>
      <c r="G477" s="92">
        <f>EXP($C$12+$C$8*_xlfn.NORM.S.INV(RAND()))</f>
        <v/>
      </c>
    </row>
    <row r="478">
      <c r="F478">
        <f>F477+1</f>
        <v/>
      </c>
      <c r="G478" s="92">
        <f>EXP($C$12+$C$8*_xlfn.NORM.S.INV(RAND()))</f>
        <v/>
      </c>
    </row>
    <row r="479">
      <c r="F479">
        <f>F478+1</f>
        <v/>
      </c>
      <c r="G479" s="92">
        <f>EXP($C$12+$C$8*_xlfn.NORM.S.INV(RAND()))</f>
        <v/>
      </c>
    </row>
    <row r="480">
      <c r="F480">
        <f>F479+1</f>
        <v/>
      </c>
      <c r="G480" s="92">
        <f>EXP($C$12+$C$8*_xlfn.NORM.S.INV(RAND()))</f>
        <v/>
      </c>
    </row>
    <row r="481">
      <c r="F481">
        <f>F480+1</f>
        <v/>
      </c>
      <c r="G481" s="92">
        <f>EXP($C$12+$C$8*_xlfn.NORM.S.INV(RAND()))</f>
        <v/>
      </c>
    </row>
    <row r="482">
      <c r="F482">
        <f>F481+1</f>
        <v/>
      </c>
      <c r="G482" s="92">
        <f>EXP($C$12+$C$8*_xlfn.NORM.S.INV(RAND()))</f>
        <v/>
      </c>
    </row>
    <row r="483">
      <c r="F483">
        <f>F482+1</f>
        <v/>
      </c>
      <c r="G483" s="92">
        <f>EXP($C$12+$C$8*_xlfn.NORM.S.INV(RAND()))</f>
        <v/>
      </c>
    </row>
    <row r="484">
      <c r="F484">
        <f>F483+1</f>
        <v/>
      </c>
      <c r="G484" s="92">
        <f>EXP($C$12+$C$8*_xlfn.NORM.S.INV(RAND()))</f>
        <v/>
      </c>
    </row>
    <row r="485">
      <c r="F485">
        <f>F484+1</f>
        <v/>
      </c>
      <c r="G485" s="92">
        <f>EXP($C$12+$C$8*_xlfn.NORM.S.INV(RAND()))</f>
        <v/>
      </c>
    </row>
    <row r="486">
      <c r="F486">
        <f>F485+1</f>
        <v/>
      </c>
      <c r="G486" s="92">
        <f>EXP($C$12+$C$8*_xlfn.NORM.S.INV(RAND()))</f>
        <v/>
      </c>
    </row>
    <row r="487">
      <c r="F487">
        <f>F486+1</f>
        <v/>
      </c>
      <c r="G487" s="92">
        <f>EXP($C$12+$C$8*_xlfn.NORM.S.INV(RAND()))</f>
        <v/>
      </c>
    </row>
    <row r="488">
      <c r="F488">
        <f>F487+1</f>
        <v/>
      </c>
      <c r="G488" s="92">
        <f>EXP($C$12+$C$8*_xlfn.NORM.S.INV(RAND()))</f>
        <v/>
      </c>
    </row>
    <row r="489">
      <c r="F489">
        <f>F488+1</f>
        <v/>
      </c>
      <c r="G489" s="92">
        <f>EXP($C$12+$C$8*_xlfn.NORM.S.INV(RAND()))</f>
        <v/>
      </c>
    </row>
    <row r="490">
      <c r="F490">
        <f>F489+1</f>
        <v/>
      </c>
      <c r="G490" s="92">
        <f>EXP($C$12+$C$8*_xlfn.NORM.S.INV(RAND()))</f>
        <v/>
      </c>
    </row>
    <row r="491">
      <c r="F491">
        <f>F490+1</f>
        <v/>
      </c>
      <c r="G491" s="92">
        <f>EXP($C$12+$C$8*_xlfn.NORM.S.INV(RAND()))</f>
        <v/>
      </c>
    </row>
    <row r="492">
      <c r="F492">
        <f>F491+1</f>
        <v/>
      </c>
      <c r="G492" s="92">
        <f>EXP($C$12+$C$8*_xlfn.NORM.S.INV(RAND()))</f>
        <v/>
      </c>
    </row>
    <row r="493">
      <c r="F493">
        <f>F492+1</f>
        <v/>
      </c>
      <c r="G493" s="92">
        <f>EXP($C$12+$C$8*_xlfn.NORM.S.INV(RAND()))</f>
        <v/>
      </c>
    </row>
    <row r="494">
      <c r="F494">
        <f>F493+1</f>
        <v/>
      </c>
      <c r="G494" s="92">
        <f>EXP($C$12+$C$8*_xlfn.NORM.S.INV(RAND()))</f>
        <v/>
      </c>
    </row>
    <row r="495">
      <c r="F495">
        <f>F494+1</f>
        <v/>
      </c>
      <c r="G495" s="92">
        <f>EXP($C$12+$C$8*_xlfn.NORM.S.INV(RAND()))</f>
        <v/>
      </c>
    </row>
    <row r="496">
      <c r="F496">
        <f>F495+1</f>
        <v/>
      </c>
      <c r="G496" s="92">
        <f>EXP($C$12+$C$8*_xlfn.NORM.S.INV(RAND()))</f>
        <v/>
      </c>
    </row>
    <row r="497">
      <c r="F497">
        <f>F496+1</f>
        <v/>
      </c>
      <c r="G497" s="92">
        <f>EXP($C$12+$C$8*_xlfn.NORM.S.INV(RAND()))</f>
        <v/>
      </c>
    </row>
    <row r="498">
      <c r="F498">
        <f>F497+1</f>
        <v/>
      </c>
      <c r="G498" s="92">
        <f>EXP($C$12+$C$8*_xlfn.NORM.S.INV(RAND()))</f>
        <v/>
      </c>
    </row>
    <row r="499">
      <c r="F499">
        <f>F498+1</f>
        <v/>
      </c>
      <c r="G499" s="92">
        <f>EXP($C$12+$C$8*_xlfn.NORM.S.INV(RAND()))</f>
        <v/>
      </c>
    </row>
    <row r="500">
      <c r="F500">
        <f>F499+1</f>
        <v/>
      </c>
      <c r="G500" s="92">
        <f>EXP($C$12+$C$8*_xlfn.NORM.S.INV(RAND()))</f>
        <v/>
      </c>
    </row>
    <row r="501">
      <c r="F501">
        <f>F500+1</f>
        <v/>
      </c>
      <c r="G501" s="92">
        <f>EXP($C$12+$C$8*_xlfn.NORM.S.INV(RAND()))</f>
        <v/>
      </c>
    </row>
    <row r="502">
      <c r="F502">
        <f>F501+1</f>
        <v/>
      </c>
      <c r="G502" s="92">
        <f>EXP($C$12+$C$8*_xlfn.NORM.S.INV(RAND()))</f>
        <v/>
      </c>
    </row>
    <row r="503">
      <c r="F503">
        <f>F502+1</f>
        <v/>
      </c>
      <c r="G503" s="92">
        <f>EXP($C$12+$C$8*_xlfn.NORM.S.INV(RAND()))</f>
        <v/>
      </c>
    </row>
    <row r="504">
      <c r="F504">
        <f>F503+1</f>
        <v/>
      </c>
      <c r="G504" s="92">
        <f>EXP($C$12+$C$8*_xlfn.NORM.S.INV(RAND()))</f>
        <v/>
      </c>
    </row>
    <row r="505">
      <c r="F505">
        <f>F504+1</f>
        <v/>
      </c>
      <c r="G505" s="92">
        <f>EXP($C$12+$C$8*_xlfn.NORM.S.INV(RAND()))</f>
        <v/>
      </c>
    </row>
    <row r="506">
      <c r="F506">
        <f>F505+1</f>
        <v/>
      </c>
      <c r="G506" s="92">
        <f>EXP($C$12+$C$8*_xlfn.NORM.S.INV(RAND()))</f>
        <v/>
      </c>
    </row>
    <row r="507">
      <c r="F507">
        <f>F506+1</f>
        <v/>
      </c>
      <c r="G507" s="92">
        <f>EXP($C$12+$C$8*_xlfn.NORM.S.INV(RAND()))</f>
        <v/>
      </c>
    </row>
    <row r="508">
      <c r="F508">
        <f>F507+1</f>
        <v/>
      </c>
      <c r="G508" s="92">
        <f>EXP($C$12+$C$8*_xlfn.NORM.S.INV(RAND()))</f>
        <v/>
      </c>
    </row>
    <row r="509">
      <c r="F509">
        <f>F508+1</f>
        <v/>
      </c>
      <c r="G509" s="92">
        <f>EXP($C$12+$C$8*_xlfn.NORM.S.INV(RAND()))</f>
        <v/>
      </c>
    </row>
    <row r="510">
      <c r="F510">
        <f>F509+1</f>
        <v/>
      </c>
      <c r="G510" s="92">
        <f>EXP($C$12+$C$8*_xlfn.NORM.S.INV(RAND()))</f>
        <v/>
      </c>
    </row>
    <row r="511">
      <c r="F511">
        <f>F510+1</f>
        <v/>
      </c>
      <c r="G511" s="92">
        <f>EXP($C$12+$C$8*_xlfn.NORM.S.INV(RAND()))</f>
        <v/>
      </c>
    </row>
    <row r="512">
      <c r="F512">
        <f>F511+1</f>
        <v/>
      </c>
      <c r="G512" s="92">
        <f>EXP($C$12+$C$8*_xlfn.NORM.S.INV(RAND()))</f>
        <v/>
      </c>
    </row>
    <row r="513">
      <c r="F513">
        <f>F512+1</f>
        <v/>
      </c>
      <c r="G513" s="92">
        <f>EXP($C$12+$C$8*_xlfn.NORM.S.INV(RAND()))</f>
        <v/>
      </c>
    </row>
    <row r="514">
      <c r="F514">
        <f>F513+1</f>
        <v/>
      </c>
      <c r="G514" s="92">
        <f>EXP($C$12+$C$8*_xlfn.NORM.S.INV(RAND()))</f>
        <v/>
      </c>
    </row>
    <row r="515">
      <c r="F515">
        <f>F514+1</f>
        <v/>
      </c>
      <c r="G515" s="92">
        <f>EXP($C$12+$C$8*_xlfn.NORM.S.INV(RAND()))</f>
        <v/>
      </c>
    </row>
    <row r="516">
      <c r="F516">
        <f>F515+1</f>
        <v/>
      </c>
      <c r="G516" s="92">
        <f>EXP($C$12+$C$8*_xlfn.NORM.S.INV(RAND()))</f>
        <v/>
      </c>
    </row>
    <row r="517">
      <c r="F517">
        <f>F516+1</f>
        <v/>
      </c>
      <c r="G517" s="92">
        <f>EXP($C$12+$C$8*_xlfn.NORM.S.INV(RAND()))</f>
        <v/>
      </c>
    </row>
    <row r="518">
      <c r="F518">
        <f>F517+1</f>
        <v/>
      </c>
      <c r="G518" s="92">
        <f>EXP($C$12+$C$8*_xlfn.NORM.S.INV(RAND()))</f>
        <v/>
      </c>
    </row>
    <row r="519">
      <c r="F519">
        <f>F518+1</f>
        <v/>
      </c>
      <c r="G519" s="92">
        <f>EXP($C$12+$C$8*_xlfn.NORM.S.INV(RAND()))</f>
        <v/>
      </c>
    </row>
    <row r="520">
      <c r="F520">
        <f>F519+1</f>
        <v/>
      </c>
      <c r="G520" s="92">
        <f>EXP($C$12+$C$8*_xlfn.NORM.S.INV(RAND()))</f>
        <v/>
      </c>
    </row>
    <row r="521">
      <c r="F521">
        <f>F520+1</f>
        <v/>
      </c>
      <c r="G521" s="92">
        <f>EXP($C$12+$C$8*_xlfn.NORM.S.INV(RAND()))</f>
        <v/>
      </c>
    </row>
    <row r="522">
      <c r="F522">
        <f>F521+1</f>
        <v/>
      </c>
      <c r="G522" s="92">
        <f>EXP($C$12+$C$8*_xlfn.NORM.S.INV(RAND()))</f>
        <v/>
      </c>
    </row>
    <row r="523">
      <c r="F523">
        <f>F522+1</f>
        <v/>
      </c>
      <c r="G523" s="92">
        <f>EXP($C$12+$C$8*_xlfn.NORM.S.INV(RAND()))</f>
        <v/>
      </c>
    </row>
    <row r="524">
      <c r="F524">
        <f>F523+1</f>
        <v/>
      </c>
      <c r="G524" s="92">
        <f>EXP($C$12+$C$8*_xlfn.NORM.S.INV(RAND()))</f>
        <v/>
      </c>
    </row>
    <row r="525">
      <c r="F525">
        <f>F524+1</f>
        <v/>
      </c>
      <c r="G525" s="92">
        <f>EXP($C$12+$C$8*_xlfn.NORM.S.INV(RAND()))</f>
        <v/>
      </c>
    </row>
    <row r="526">
      <c r="F526">
        <f>F525+1</f>
        <v/>
      </c>
      <c r="G526" s="92">
        <f>EXP($C$12+$C$8*_xlfn.NORM.S.INV(RAND()))</f>
        <v/>
      </c>
    </row>
    <row r="527">
      <c r="F527">
        <f>F526+1</f>
        <v/>
      </c>
      <c r="G527" s="92">
        <f>EXP($C$12+$C$8*_xlfn.NORM.S.INV(RAND()))</f>
        <v/>
      </c>
    </row>
    <row r="528">
      <c r="F528">
        <f>F527+1</f>
        <v/>
      </c>
      <c r="G528" s="92">
        <f>EXP($C$12+$C$8*_xlfn.NORM.S.INV(RAND()))</f>
        <v/>
      </c>
    </row>
    <row r="529">
      <c r="F529">
        <f>F528+1</f>
        <v/>
      </c>
      <c r="G529" s="92">
        <f>EXP($C$12+$C$8*_xlfn.NORM.S.INV(RAND()))</f>
        <v/>
      </c>
    </row>
    <row r="530">
      <c r="F530">
        <f>F529+1</f>
        <v/>
      </c>
      <c r="G530" s="92">
        <f>EXP($C$12+$C$8*_xlfn.NORM.S.INV(RAND()))</f>
        <v/>
      </c>
    </row>
    <row r="531">
      <c r="F531">
        <f>F530+1</f>
        <v/>
      </c>
      <c r="G531" s="92">
        <f>EXP($C$12+$C$8*_xlfn.NORM.S.INV(RAND()))</f>
        <v/>
      </c>
    </row>
    <row r="532">
      <c r="F532">
        <f>F531+1</f>
        <v/>
      </c>
      <c r="G532" s="92">
        <f>EXP($C$12+$C$8*_xlfn.NORM.S.INV(RAND()))</f>
        <v/>
      </c>
    </row>
    <row r="533">
      <c r="F533">
        <f>F532+1</f>
        <v/>
      </c>
      <c r="G533" s="92">
        <f>EXP($C$12+$C$8*_xlfn.NORM.S.INV(RAND()))</f>
        <v/>
      </c>
    </row>
    <row r="534">
      <c r="F534">
        <f>F533+1</f>
        <v/>
      </c>
      <c r="G534" s="92">
        <f>EXP($C$12+$C$8*_xlfn.NORM.S.INV(RAND()))</f>
        <v/>
      </c>
    </row>
    <row r="535">
      <c r="F535">
        <f>F534+1</f>
        <v/>
      </c>
      <c r="G535" s="92">
        <f>EXP($C$12+$C$8*_xlfn.NORM.S.INV(RAND()))</f>
        <v/>
      </c>
    </row>
    <row r="536">
      <c r="F536">
        <f>F535+1</f>
        <v/>
      </c>
      <c r="G536" s="92">
        <f>EXP($C$12+$C$8*_xlfn.NORM.S.INV(RAND()))</f>
        <v/>
      </c>
    </row>
    <row r="537">
      <c r="F537">
        <f>F536+1</f>
        <v/>
      </c>
      <c r="G537" s="92">
        <f>EXP($C$12+$C$8*_xlfn.NORM.S.INV(RAND()))</f>
        <v/>
      </c>
    </row>
    <row r="538">
      <c r="F538">
        <f>F537+1</f>
        <v/>
      </c>
      <c r="G538" s="92">
        <f>EXP($C$12+$C$8*_xlfn.NORM.S.INV(RAND()))</f>
        <v/>
      </c>
    </row>
    <row r="539">
      <c r="F539">
        <f>F538+1</f>
        <v/>
      </c>
      <c r="G539" s="92">
        <f>EXP($C$12+$C$8*_xlfn.NORM.S.INV(RAND()))</f>
        <v/>
      </c>
    </row>
    <row r="540">
      <c r="F540">
        <f>F539+1</f>
        <v/>
      </c>
      <c r="G540" s="92">
        <f>EXP($C$12+$C$8*_xlfn.NORM.S.INV(RAND()))</f>
        <v/>
      </c>
    </row>
    <row r="541">
      <c r="F541">
        <f>F540+1</f>
        <v/>
      </c>
      <c r="G541" s="92">
        <f>EXP($C$12+$C$8*_xlfn.NORM.S.INV(RAND()))</f>
        <v/>
      </c>
    </row>
    <row r="542">
      <c r="F542">
        <f>F541+1</f>
        <v/>
      </c>
      <c r="G542" s="92">
        <f>EXP($C$12+$C$8*_xlfn.NORM.S.INV(RAND()))</f>
        <v/>
      </c>
    </row>
    <row r="543">
      <c r="F543">
        <f>F542+1</f>
        <v/>
      </c>
      <c r="G543" s="92">
        <f>EXP($C$12+$C$8*_xlfn.NORM.S.INV(RAND()))</f>
        <v/>
      </c>
    </row>
    <row r="544">
      <c r="F544">
        <f>F543+1</f>
        <v/>
      </c>
      <c r="G544" s="92">
        <f>EXP($C$12+$C$8*_xlfn.NORM.S.INV(RAND()))</f>
        <v/>
      </c>
    </row>
    <row r="545">
      <c r="F545">
        <f>F544+1</f>
        <v/>
      </c>
      <c r="G545" s="92">
        <f>EXP($C$12+$C$8*_xlfn.NORM.S.INV(RAND()))</f>
        <v/>
      </c>
    </row>
    <row r="546">
      <c r="F546">
        <f>F545+1</f>
        <v/>
      </c>
      <c r="G546" s="92">
        <f>EXP($C$12+$C$8*_xlfn.NORM.S.INV(RAND()))</f>
        <v/>
      </c>
    </row>
    <row r="547">
      <c r="F547">
        <f>F546+1</f>
        <v/>
      </c>
      <c r="G547" s="92">
        <f>EXP($C$12+$C$8*_xlfn.NORM.S.INV(RAND()))</f>
        <v/>
      </c>
    </row>
    <row r="548">
      <c r="F548">
        <f>F547+1</f>
        <v/>
      </c>
      <c r="G548" s="92">
        <f>EXP($C$12+$C$8*_xlfn.NORM.S.INV(RAND()))</f>
        <v/>
      </c>
    </row>
    <row r="549">
      <c r="F549">
        <f>F548+1</f>
        <v/>
      </c>
      <c r="G549" s="92">
        <f>EXP($C$12+$C$8*_xlfn.NORM.S.INV(RAND()))</f>
        <v/>
      </c>
    </row>
    <row r="550">
      <c r="F550">
        <f>F549+1</f>
        <v/>
      </c>
      <c r="G550" s="92">
        <f>EXP($C$12+$C$8*_xlfn.NORM.S.INV(RAND()))</f>
        <v/>
      </c>
    </row>
    <row r="551">
      <c r="F551">
        <f>F550+1</f>
        <v/>
      </c>
      <c r="G551" s="92">
        <f>EXP($C$12+$C$8*_xlfn.NORM.S.INV(RAND()))</f>
        <v/>
      </c>
    </row>
    <row r="552">
      <c r="F552">
        <f>F551+1</f>
        <v/>
      </c>
      <c r="G552" s="92">
        <f>EXP($C$12+$C$8*_xlfn.NORM.S.INV(RAND()))</f>
        <v/>
      </c>
    </row>
    <row r="553">
      <c r="F553">
        <f>F552+1</f>
        <v/>
      </c>
      <c r="G553" s="92">
        <f>EXP($C$12+$C$8*_xlfn.NORM.S.INV(RAND()))</f>
        <v/>
      </c>
    </row>
    <row r="554">
      <c r="F554">
        <f>F553+1</f>
        <v/>
      </c>
      <c r="G554" s="92">
        <f>EXP($C$12+$C$8*_xlfn.NORM.S.INV(RAND()))</f>
        <v/>
      </c>
    </row>
    <row r="555">
      <c r="F555">
        <f>F554+1</f>
        <v/>
      </c>
      <c r="G555" s="92">
        <f>EXP($C$12+$C$8*_xlfn.NORM.S.INV(RAND()))</f>
        <v/>
      </c>
    </row>
    <row r="556">
      <c r="F556">
        <f>F555+1</f>
        <v/>
      </c>
      <c r="G556" s="92">
        <f>EXP($C$12+$C$8*_xlfn.NORM.S.INV(RAND()))</f>
        <v/>
      </c>
    </row>
    <row r="557">
      <c r="F557">
        <f>F556+1</f>
        <v/>
      </c>
      <c r="G557" s="92">
        <f>EXP($C$12+$C$8*_xlfn.NORM.S.INV(RAND()))</f>
        <v/>
      </c>
    </row>
    <row r="558">
      <c r="F558">
        <f>F557+1</f>
        <v/>
      </c>
      <c r="G558" s="92">
        <f>EXP($C$12+$C$8*_xlfn.NORM.S.INV(RAND()))</f>
        <v/>
      </c>
    </row>
    <row r="559">
      <c r="F559">
        <f>F558+1</f>
        <v/>
      </c>
      <c r="G559" s="92">
        <f>EXP($C$12+$C$8*_xlfn.NORM.S.INV(RAND()))</f>
        <v/>
      </c>
    </row>
    <row r="560">
      <c r="F560">
        <f>F559+1</f>
        <v/>
      </c>
      <c r="G560" s="92">
        <f>EXP($C$12+$C$8*_xlfn.NORM.S.INV(RAND()))</f>
        <v/>
      </c>
    </row>
    <row r="561">
      <c r="F561">
        <f>F560+1</f>
        <v/>
      </c>
      <c r="G561" s="92">
        <f>EXP($C$12+$C$8*_xlfn.NORM.S.INV(RAND()))</f>
        <v/>
      </c>
    </row>
    <row r="562">
      <c r="F562">
        <f>F561+1</f>
        <v/>
      </c>
      <c r="G562" s="92">
        <f>EXP($C$12+$C$8*_xlfn.NORM.S.INV(RAND()))</f>
        <v/>
      </c>
    </row>
    <row r="563">
      <c r="F563">
        <f>F562+1</f>
        <v/>
      </c>
      <c r="G563" s="92">
        <f>EXP($C$12+$C$8*_xlfn.NORM.S.INV(RAND()))</f>
        <v/>
      </c>
    </row>
    <row r="564">
      <c r="F564">
        <f>F563+1</f>
        <v/>
      </c>
      <c r="G564" s="92">
        <f>EXP($C$12+$C$8*_xlfn.NORM.S.INV(RAND()))</f>
        <v/>
      </c>
    </row>
    <row r="565">
      <c r="F565">
        <f>F564+1</f>
        <v/>
      </c>
      <c r="G565" s="92">
        <f>EXP($C$12+$C$8*_xlfn.NORM.S.INV(RAND()))</f>
        <v/>
      </c>
    </row>
    <row r="566">
      <c r="F566">
        <f>F565+1</f>
        <v/>
      </c>
      <c r="G566" s="92">
        <f>EXP($C$12+$C$8*_xlfn.NORM.S.INV(RAND()))</f>
        <v/>
      </c>
    </row>
    <row r="567">
      <c r="F567">
        <f>F566+1</f>
        <v/>
      </c>
      <c r="G567" s="92">
        <f>EXP($C$12+$C$8*_xlfn.NORM.S.INV(RAND()))</f>
        <v/>
      </c>
    </row>
    <row r="568">
      <c r="F568">
        <f>F567+1</f>
        <v/>
      </c>
      <c r="G568" s="92">
        <f>EXP($C$12+$C$8*_xlfn.NORM.S.INV(RAND()))</f>
        <v/>
      </c>
    </row>
    <row r="569">
      <c r="F569">
        <f>F568+1</f>
        <v/>
      </c>
      <c r="G569" s="92">
        <f>EXP($C$12+$C$8*_xlfn.NORM.S.INV(RAND()))</f>
        <v/>
      </c>
    </row>
    <row r="570">
      <c r="F570">
        <f>F569+1</f>
        <v/>
      </c>
      <c r="G570" s="92">
        <f>EXP($C$12+$C$8*_xlfn.NORM.S.INV(RAND()))</f>
        <v/>
      </c>
    </row>
    <row r="571">
      <c r="F571">
        <f>F570+1</f>
        <v/>
      </c>
      <c r="G571" s="92">
        <f>EXP($C$12+$C$8*_xlfn.NORM.S.INV(RAND()))</f>
        <v/>
      </c>
    </row>
    <row r="572">
      <c r="F572">
        <f>F571+1</f>
        <v/>
      </c>
      <c r="G572" s="92">
        <f>EXP($C$12+$C$8*_xlfn.NORM.S.INV(RAND()))</f>
        <v/>
      </c>
    </row>
    <row r="573">
      <c r="F573">
        <f>F572+1</f>
        <v/>
      </c>
      <c r="G573" s="92">
        <f>EXP($C$12+$C$8*_xlfn.NORM.S.INV(RAND()))</f>
        <v/>
      </c>
    </row>
    <row r="574">
      <c r="F574">
        <f>F573+1</f>
        <v/>
      </c>
      <c r="G574" s="92">
        <f>EXP($C$12+$C$8*_xlfn.NORM.S.INV(RAND()))</f>
        <v/>
      </c>
    </row>
    <row r="575">
      <c r="F575">
        <f>F574+1</f>
        <v/>
      </c>
      <c r="G575" s="92">
        <f>EXP($C$12+$C$8*_xlfn.NORM.S.INV(RAND()))</f>
        <v/>
      </c>
    </row>
    <row r="576">
      <c r="F576">
        <f>F575+1</f>
        <v/>
      </c>
      <c r="G576" s="92">
        <f>EXP($C$12+$C$8*_xlfn.NORM.S.INV(RAND()))</f>
        <v/>
      </c>
    </row>
    <row r="577">
      <c r="F577">
        <f>F576+1</f>
        <v/>
      </c>
      <c r="G577" s="92">
        <f>EXP($C$12+$C$8*_xlfn.NORM.S.INV(RAND()))</f>
        <v/>
      </c>
    </row>
    <row r="578">
      <c r="F578">
        <f>F577+1</f>
        <v/>
      </c>
      <c r="G578" s="92">
        <f>EXP($C$12+$C$8*_xlfn.NORM.S.INV(RAND()))</f>
        <v/>
      </c>
    </row>
    <row r="579">
      <c r="F579">
        <f>F578+1</f>
        <v/>
      </c>
      <c r="G579" s="92">
        <f>EXP($C$12+$C$8*_xlfn.NORM.S.INV(RAND()))</f>
        <v/>
      </c>
    </row>
    <row r="580">
      <c r="F580">
        <f>F579+1</f>
        <v/>
      </c>
      <c r="G580" s="92">
        <f>EXP($C$12+$C$8*_xlfn.NORM.S.INV(RAND()))</f>
        <v/>
      </c>
    </row>
    <row r="581">
      <c r="F581">
        <f>F580+1</f>
        <v/>
      </c>
      <c r="G581" s="92">
        <f>EXP($C$12+$C$8*_xlfn.NORM.S.INV(RAND()))</f>
        <v/>
      </c>
    </row>
    <row r="582">
      <c r="F582">
        <f>F581+1</f>
        <v/>
      </c>
      <c r="G582" s="92">
        <f>EXP($C$12+$C$8*_xlfn.NORM.S.INV(RAND()))</f>
        <v/>
      </c>
    </row>
    <row r="583">
      <c r="F583">
        <f>F582+1</f>
        <v/>
      </c>
      <c r="G583" s="92">
        <f>EXP($C$12+$C$8*_xlfn.NORM.S.INV(RAND()))</f>
        <v/>
      </c>
    </row>
    <row r="584">
      <c r="F584">
        <f>F583+1</f>
        <v/>
      </c>
      <c r="G584" s="92">
        <f>EXP($C$12+$C$8*_xlfn.NORM.S.INV(RAND()))</f>
        <v/>
      </c>
    </row>
    <row r="585">
      <c r="F585">
        <f>F584+1</f>
        <v/>
      </c>
      <c r="G585" s="92">
        <f>EXP($C$12+$C$8*_xlfn.NORM.S.INV(RAND()))</f>
        <v/>
      </c>
    </row>
    <row r="586">
      <c r="F586">
        <f>F585+1</f>
        <v/>
      </c>
      <c r="G586" s="92">
        <f>EXP($C$12+$C$8*_xlfn.NORM.S.INV(RAND()))</f>
        <v/>
      </c>
    </row>
    <row r="587">
      <c r="F587">
        <f>F586+1</f>
        <v/>
      </c>
      <c r="G587" s="92">
        <f>EXP($C$12+$C$8*_xlfn.NORM.S.INV(RAND()))</f>
        <v/>
      </c>
    </row>
    <row r="588">
      <c r="F588">
        <f>F587+1</f>
        <v/>
      </c>
      <c r="G588" s="92">
        <f>EXP($C$12+$C$8*_xlfn.NORM.S.INV(RAND()))</f>
        <v/>
      </c>
    </row>
    <row r="589">
      <c r="F589">
        <f>F588+1</f>
        <v/>
      </c>
      <c r="G589" s="92">
        <f>EXP($C$12+$C$8*_xlfn.NORM.S.INV(RAND()))</f>
        <v/>
      </c>
    </row>
    <row r="590">
      <c r="F590">
        <f>F589+1</f>
        <v/>
      </c>
      <c r="G590" s="92">
        <f>EXP($C$12+$C$8*_xlfn.NORM.S.INV(RAND()))</f>
        <v/>
      </c>
    </row>
    <row r="591">
      <c r="F591">
        <f>F590+1</f>
        <v/>
      </c>
      <c r="G591" s="92">
        <f>EXP($C$12+$C$8*_xlfn.NORM.S.INV(RAND()))</f>
        <v/>
      </c>
    </row>
    <row r="592">
      <c r="F592">
        <f>F591+1</f>
        <v/>
      </c>
      <c r="G592" s="92">
        <f>EXP($C$12+$C$8*_xlfn.NORM.S.INV(RAND()))</f>
        <v/>
      </c>
    </row>
    <row r="593">
      <c r="F593">
        <f>F592+1</f>
        <v/>
      </c>
      <c r="G593" s="92">
        <f>EXP($C$12+$C$8*_xlfn.NORM.S.INV(RAND()))</f>
        <v/>
      </c>
    </row>
    <row r="594">
      <c r="F594">
        <f>F593+1</f>
        <v/>
      </c>
      <c r="G594" s="92">
        <f>EXP($C$12+$C$8*_xlfn.NORM.S.INV(RAND()))</f>
        <v/>
      </c>
    </row>
    <row r="595">
      <c r="F595">
        <f>F594+1</f>
        <v/>
      </c>
      <c r="G595" s="92">
        <f>EXP($C$12+$C$8*_xlfn.NORM.S.INV(RAND()))</f>
        <v/>
      </c>
    </row>
    <row r="596">
      <c r="F596">
        <f>F595+1</f>
        <v/>
      </c>
      <c r="G596" s="92">
        <f>EXP($C$12+$C$8*_xlfn.NORM.S.INV(RAND()))</f>
        <v/>
      </c>
    </row>
    <row r="597">
      <c r="F597">
        <f>F596+1</f>
        <v/>
      </c>
      <c r="G597" s="92">
        <f>EXP($C$12+$C$8*_xlfn.NORM.S.INV(RAND()))</f>
        <v/>
      </c>
    </row>
    <row r="598">
      <c r="F598">
        <f>F597+1</f>
        <v/>
      </c>
      <c r="G598" s="92">
        <f>EXP($C$12+$C$8*_xlfn.NORM.S.INV(RAND()))</f>
        <v/>
      </c>
    </row>
    <row r="599">
      <c r="F599">
        <f>F598+1</f>
        <v/>
      </c>
      <c r="G599" s="92">
        <f>EXP($C$12+$C$8*_xlfn.NORM.S.INV(RAND()))</f>
        <v/>
      </c>
    </row>
    <row r="600">
      <c r="F600">
        <f>F599+1</f>
        <v/>
      </c>
      <c r="G600" s="92">
        <f>EXP($C$12+$C$8*_xlfn.NORM.S.INV(RAND()))</f>
        <v/>
      </c>
    </row>
    <row r="601">
      <c r="F601">
        <f>F600+1</f>
        <v/>
      </c>
      <c r="G601" s="92">
        <f>EXP($C$12+$C$8*_xlfn.NORM.S.INV(RAND()))</f>
        <v/>
      </c>
    </row>
    <row r="602">
      <c r="F602">
        <f>F601+1</f>
        <v/>
      </c>
      <c r="G602" s="92">
        <f>EXP($C$12+$C$8*_xlfn.NORM.S.INV(RAND()))</f>
        <v/>
      </c>
    </row>
    <row r="603">
      <c r="F603">
        <f>F602+1</f>
        <v/>
      </c>
      <c r="G603" s="92">
        <f>EXP($C$12+$C$8*_xlfn.NORM.S.INV(RAND()))</f>
        <v/>
      </c>
    </row>
    <row r="604">
      <c r="F604">
        <f>F603+1</f>
        <v/>
      </c>
      <c r="G604" s="92">
        <f>EXP($C$12+$C$8*_xlfn.NORM.S.INV(RAND()))</f>
        <v/>
      </c>
    </row>
    <row r="605">
      <c r="F605">
        <f>F604+1</f>
        <v/>
      </c>
      <c r="G605" s="92">
        <f>EXP($C$12+$C$8*_xlfn.NORM.S.INV(RAND()))</f>
        <v/>
      </c>
    </row>
    <row r="606">
      <c r="F606">
        <f>F605+1</f>
        <v/>
      </c>
      <c r="G606" s="92">
        <f>EXP($C$12+$C$8*_xlfn.NORM.S.INV(RAND()))</f>
        <v/>
      </c>
    </row>
    <row r="607">
      <c r="F607">
        <f>F606+1</f>
        <v/>
      </c>
      <c r="G607" s="92">
        <f>EXP($C$12+$C$8*_xlfn.NORM.S.INV(RAND()))</f>
        <v/>
      </c>
    </row>
    <row r="608">
      <c r="F608">
        <f>F607+1</f>
        <v/>
      </c>
      <c r="G608" s="92">
        <f>EXP($C$12+$C$8*_xlfn.NORM.S.INV(RAND()))</f>
        <v/>
      </c>
    </row>
    <row r="609">
      <c r="F609">
        <f>F608+1</f>
        <v/>
      </c>
      <c r="G609" s="92">
        <f>EXP($C$12+$C$8*_xlfn.NORM.S.INV(RAND()))</f>
        <v/>
      </c>
    </row>
    <row r="610">
      <c r="F610">
        <f>F609+1</f>
        <v/>
      </c>
      <c r="G610" s="92">
        <f>EXP($C$12+$C$8*_xlfn.NORM.S.INV(RAND()))</f>
        <v/>
      </c>
    </row>
    <row r="611">
      <c r="F611">
        <f>F610+1</f>
        <v/>
      </c>
      <c r="G611" s="92">
        <f>EXP($C$12+$C$8*_xlfn.NORM.S.INV(RAND()))</f>
        <v/>
      </c>
    </row>
    <row r="612">
      <c r="F612">
        <f>F611+1</f>
        <v/>
      </c>
      <c r="G612" s="92">
        <f>EXP($C$12+$C$8*_xlfn.NORM.S.INV(RAND()))</f>
        <v/>
      </c>
    </row>
    <row r="613">
      <c r="F613">
        <f>F612+1</f>
        <v/>
      </c>
      <c r="G613" s="92">
        <f>EXP($C$12+$C$8*_xlfn.NORM.S.INV(RAND()))</f>
        <v/>
      </c>
    </row>
    <row r="614">
      <c r="F614">
        <f>F613+1</f>
        <v/>
      </c>
      <c r="G614" s="92">
        <f>EXP($C$12+$C$8*_xlfn.NORM.S.INV(RAND()))</f>
        <v/>
      </c>
    </row>
    <row r="615">
      <c r="F615">
        <f>F614+1</f>
        <v/>
      </c>
      <c r="G615" s="92">
        <f>EXP($C$12+$C$8*_xlfn.NORM.S.INV(RAND()))</f>
        <v/>
      </c>
    </row>
    <row r="616">
      <c r="F616">
        <f>F615+1</f>
        <v/>
      </c>
      <c r="G616" s="92">
        <f>EXP($C$12+$C$8*_xlfn.NORM.S.INV(RAND()))</f>
        <v/>
      </c>
    </row>
    <row r="617">
      <c r="F617">
        <f>F616+1</f>
        <v/>
      </c>
      <c r="G617" s="92">
        <f>EXP($C$12+$C$8*_xlfn.NORM.S.INV(RAND()))</f>
        <v/>
      </c>
    </row>
    <row r="618">
      <c r="F618">
        <f>F617+1</f>
        <v/>
      </c>
      <c r="G618" s="92">
        <f>EXP($C$12+$C$8*_xlfn.NORM.S.INV(RAND()))</f>
        <v/>
      </c>
    </row>
    <row r="619">
      <c r="F619">
        <f>F618+1</f>
        <v/>
      </c>
      <c r="G619" s="92">
        <f>EXP($C$12+$C$8*_xlfn.NORM.S.INV(RAND()))</f>
        <v/>
      </c>
    </row>
    <row r="620">
      <c r="F620">
        <f>F619+1</f>
        <v/>
      </c>
      <c r="G620" s="92">
        <f>EXP($C$12+$C$8*_xlfn.NORM.S.INV(RAND()))</f>
        <v/>
      </c>
    </row>
    <row r="621">
      <c r="F621">
        <f>F620+1</f>
        <v/>
      </c>
      <c r="G621" s="92">
        <f>EXP($C$12+$C$8*_xlfn.NORM.S.INV(RAND()))</f>
        <v/>
      </c>
    </row>
    <row r="622">
      <c r="F622">
        <f>F621+1</f>
        <v/>
      </c>
      <c r="G622" s="92">
        <f>EXP($C$12+$C$8*_xlfn.NORM.S.INV(RAND()))</f>
        <v/>
      </c>
    </row>
    <row r="623">
      <c r="F623">
        <f>F622+1</f>
        <v/>
      </c>
      <c r="G623" s="92">
        <f>EXP($C$12+$C$8*_xlfn.NORM.S.INV(RAND()))</f>
        <v/>
      </c>
    </row>
    <row r="624">
      <c r="F624">
        <f>F623+1</f>
        <v/>
      </c>
      <c r="G624" s="92">
        <f>EXP($C$12+$C$8*_xlfn.NORM.S.INV(RAND()))</f>
        <v/>
      </c>
    </row>
    <row r="625">
      <c r="F625">
        <f>F624+1</f>
        <v/>
      </c>
      <c r="G625" s="92">
        <f>EXP($C$12+$C$8*_xlfn.NORM.S.INV(RAND()))</f>
        <v/>
      </c>
    </row>
    <row r="626">
      <c r="F626">
        <f>F625+1</f>
        <v/>
      </c>
      <c r="G626" s="92">
        <f>EXP($C$12+$C$8*_xlfn.NORM.S.INV(RAND()))</f>
        <v/>
      </c>
    </row>
    <row r="627">
      <c r="F627">
        <f>F626+1</f>
        <v/>
      </c>
      <c r="G627" s="92">
        <f>EXP($C$12+$C$8*_xlfn.NORM.S.INV(RAND()))</f>
        <v/>
      </c>
    </row>
    <row r="628">
      <c r="F628">
        <f>F627+1</f>
        <v/>
      </c>
      <c r="G628" s="92">
        <f>EXP($C$12+$C$8*_xlfn.NORM.S.INV(RAND()))</f>
        <v/>
      </c>
    </row>
    <row r="629">
      <c r="F629">
        <f>F628+1</f>
        <v/>
      </c>
      <c r="G629" s="92">
        <f>EXP($C$12+$C$8*_xlfn.NORM.S.INV(RAND()))</f>
        <v/>
      </c>
    </row>
    <row r="630">
      <c r="F630">
        <f>F629+1</f>
        <v/>
      </c>
      <c r="G630" s="92">
        <f>EXP($C$12+$C$8*_xlfn.NORM.S.INV(RAND()))</f>
        <v/>
      </c>
    </row>
    <row r="631">
      <c r="F631">
        <f>F630+1</f>
        <v/>
      </c>
      <c r="G631" s="92">
        <f>EXP($C$12+$C$8*_xlfn.NORM.S.INV(RAND()))</f>
        <v/>
      </c>
    </row>
    <row r="632">
      <c r="F632">
        <f>F631+1</f>
        <v/>
      </c>
      <c r="G632" s="92">
        <f>EXP($C$12+$C$8*_xlfn.NORM.S.INV(RAND()))</f>
        <v/>
      </c>
    </row>
    <row r="633">
      <c r="F633">
        <f>F632+1</f>
        <v/>
      </c>
      <c r="G633" s="92">
        <f>EXP($C$12+$C$8*_xlfn.NORM.S.INV(RAND()))</f>
        <v/>
      </c>
    </row>
    <row r="634">
      <c r="F634">
        <f>F633+1</f>
        <v/>
      </c>
      <c r="G634" s="92">
        <f>EXP($C$12+$C$8*_xlfn.NORM.S.INV(RAND()))</f>
        <v/>
      </c>
    </row>
    <row r="635">
      <c r="F635">
        <f>F634+1</f>
        <v/>
      </c>
      <c r="G635" s="92">
        <f>EXP($C$12+$C$8*_xlfn.NORM.S.INV(RAND()))</f>
        <v/>
      </c>
    </row>
    <row r="636">
      <c r="F636">
        <f>F635+1</f>
        <v/>
      </c>
      <c r="G636" s="92">
        <f>EXP($C$12+$C$8*_xlfn.NORM.S.INV(RAND()))</f>
        <v/>
      </c>
    </row>
    <row r="637">
      <c r="F637">
        <f>F636+1</f>
        <v/>
      </c>
      <c r="G637" s="92">
        <f>EXP($C$12+$C$8*_xlfn.NORM.S.INV(RAND()))</f>
        <v/>
      </c>
    </row>
    <row r="638">
      <c r="F638">
        <f>F637+1</f>
        <v/>
      </c>
      <c r="G638" s="92">
        <f>EXP($C$12+$C$8*_xlfn.NORM.S.INV(RAND()))</f>
        <v/>
      </c>
    </row>
    <row r="639">
      <c r="F639">
        <f>F638+1</f>
        <v/>
      </c>
      <c r="G639" s="92">
        <f>EXP($C$12+$C$8*_xlfn.NORM.S.INV(RAND()))</f>
        <v/>
      </c>
    </row>
    <row r="640">
      <c r="F640">
        <f>F639+1</f>
        <v/>
      </c>
      <c r="G640" s="92">
        <f>EXP($C$12+$C$8*_xlfn.NORM.S.INV(RAND()))</f>
        <v/>
      </c>
    </row>
    <row r="641">
      <c r="F641">
        <f>F640+1</f>
        <v/>
      </c>
      <c r="G641" s="92">
        <f>EXP($C$12+$C$8*_xlfn.NORM.S.INV(RAND()))</f>
        <v/>
      </c>
    </row>
    <row r="642">
      <c r="F642">
        <f>F641+1</f>
        <v/>
      </c>
      <c r="G642" s="92">
        <f>EXP($C$12+$C$8*_xlfn.NORM.S.INV(RAND()))</f>
        <v/>
      </c>
    </row>
    <row r="643">
      <c r="F643">
        <f>F642+1</f>
        <v/>
      </c>
      <c r="G643" s="92">
        <f>EXP($C$12+$C$8*_xlfn.NORM.S.INV(RAND()))</f>
        <v/>
      </c>
    </row>
    <row r="644">
      <c r="F644">
        <f>F643+1</f>
        <v/>
      </c>
      <c r="G644" s="92">
        <f>EXP($C$12+$C$8*_xlfn.NORM.S.INV(RAND()))</f>
        <v/>
      </c>
    </row>
    <row r="645">
      <c r="F645">
        <f>F644+1</f>
        <v/>
      </c>
      <c r="G645" s="92">
        <f>EXP($C$12+$C$8*_xlfn.NORM.S.INV(RAND()))</f>
        <v/>
      </c>
    </row>
    <row r="646">
      <c r="F646">
        <f>F645+1</f>
        <v/>
      </c>
      <c r="G646" s="92">
        <f>EXP($C$12+$C$8*_xlfn.NORM.S.INV(RAND()))</f>
        <v/>
      </c>
    </row>
    <row r="647">
      <c r="F647">
        <f>F646+1</f>
        <v/>
      </c>
      <c r="G647" s="92">
        <f>EXP($C$12+$C$8*_xlfn.NORM.S.INV(RAND()))</f>
        <v/>
      </c>
    </row>
    <row r="648">
      <c r="F648">
        <f>F647+1</f>
        <v/>
      </c>
      <c r="G648" s="92">
        <f>EXP($C$12+$C$8*_xlfn.NORM.S.INV(RAND()))</f>
        <v/>
      </c>
    </row>
    <row r="649">
      <c r="F649">
        <f>F648+1</f>
        <v/>
      </c>
      <c r="G649" s="92">
        <f>EXP($C$12+$C$8*_xlfn.NORM.S.INV(RAND()))</f>
        <v/>
      </c>
    </row>
    <row r="650">
      <c r="F650">
        <f>F649+1</f>
        <v/>
      </c>
      <c r="G650" s="92">
        <f>EXP($C$12+$C$8*_xlfn.NORM.S.INV(RAND()))</f>
        <v/>
      </c>
    </row>
    <row r="651">
      <c r="F651">
        <f>F650+1</f>
        <v/>
      </c>
      <c r="G651" s="92">
        <f>EXP($C$12+$C$8*_xlfn.NORM.S.INV(RAND()))</f>
        <v/>
      </c>
    </row>
    <row r="652">
      <c r="F652">
        <f>F651+1</f>
        <v/>
      </c>
      <c r="G652" s="92">
        <f>EXP($C$12+$C$8*_xlfn.NORM.S.INV(RAND()))</f>
        <v/>
      </c>
    </row>
    <row r="653">
      <c r="F653">
        <f>F652+1</f>
        <v/>
      </c>
      <c r="G653" s="92">
        <f>EXP($C$12+$C$8*_xlfn.NORM.S.INV(RAND()))</f>
        <v/>
      </c>
    </row>
    <row r="654">
      <c r="F654">
        <f>F653+1</f>
        <v/>
      </c>
      <c r="G654" s="92">
        <f>EXP($C$12+$C$8*_xlfn.NORM.S.INV(RAND()))</f>
        <v/>
      </c>
    </row>
    <row r="655">
      <c r="F655">
        <f>F654+1</f>
        <v/>
      </c>
      <c r="G655" s="92">
        <f>EXP($C$12+$C$8*_xlfn.NORM.S.INV(RAND()))</f>
        <v/>
      </c>
    </row>
    <row r="656">
      <c r="F656">
        <f>F655+1</f>
        <v/>
      </c>
      <c r="G656" s="92">
        <f>EXP($C$12+$C$8*_xlfn.NORM.S.INV(RAND()))</f>
        <v/>
      </c>
    </row>
    <row r="657">
      <c r="F657">
        <f>F656+1</f>
        <v/>
      </c>
      <c r="G657" s="92">
        <f>EXP($C$12+$C$8*_xlfn.NORM.S.INV(RAND()))</f>
        <v/>
      </c>
    </row>
    <row r="658">
      <c r="F658">
        <f>F657+1</f>
        <v/>
      </c>
      <c r="G658" s="92">
        <f>EXP($C$12+$C$8*_xlfn.NORM.S.INV(RAND()))</f>
        <v/>
      </c>
    </row>
    <row r="659">
      <c r="F659">
        <f>F658+1</f>
        <v/>
      </c>
      <c r="G659" s="92">
        <f>EXP($C$12+$C$8*_xlfn.NORM.S.INV(RAND()))</f>
        <v/>
      </c>
    </row>
    <row r="660">
      <c r="F660">
        <f>F659+1</f>
        <v/>
      </c>
      <c r="G660" s="92">
        <f>EXP($C$12+$C$8*_xlfn.NORM.S.INV(RAND()))</f>
        <v/>
      </c>
    </row>
    <row r="661">
      <c r="F661">
        <f>F660+1</f>
        <v/>
      </c>
      <c r="G661" s="92">
        <f>EXP($C$12+$C$8*_xlfn.NORM.S.INV(RAND()))</f>
        <v/>
      </c>
    </row>
    <row r="662">
      <c r="F662">
        <f>F661+1</f>
        <v/>
      </c>
      <c r="G662" s="92">
        <f>EXP($C$12+$C$8*_xlfn.NORM.S.INV(RAND()))</f>
        <v/>
      </c>
    </row>
    <row r="663">
      <c r="F663">
        <f>F662+1</f>
        <v/>
      </c>
      <c r="G663" s="92">
        <f>EXP($C$12+$C$8*_xlfn.NORM.S.INV(RAND()))</f>
        <v/>
      </c>
    </row>
    <row r="664">
      <c r="F664">
        <f>F663+1</f>
        <v/>
      </c>
      <c r="G664" s="92">
        <f>EXP($C$12+$C$8*_xlfn.NORM.S.INV(RAND()))</f>
        <v/>
      </c>
    </row>
    <row r="665">
      <c r="F665">
        <f>F664+1</f>
        <v/>
      </c>
      <c r="G665" s="92">
        <f>EXP($C$12+$C$8*_xlfn.NORM.S.INV(RAND()))</f>
        <v/>
      </c>
    </row>
    <row r="666">
      <c r="F666">
        <f>F665+1</f>
        <v/>
      </c>
      <c r="G666" s="92">
        <f>EXP($C$12+$C$8*_xlfn.NORM.S.INV(RAND()))</f>
        <v/>
      </c>
    </row>
    <row r="667">
      <c r="F667">
        <f>F666+1</f>
        <v/>
      </c>
      <c r="G667" s="92">
        <f>EXP($C$12+$C$8*_xlfn.NORM.S.INV(RAND()))</f>
        <v/>
      </c>
    </row>
    <row r="668">
      <c r="F668">
        <f>F667+1</f>
        <v/>
      </c>
      <c r="G668" s="92">
        <f>EXP($C$12+$C$8*_xlfn.NORM.S.INV(RAND()))</f>
        <v/>
      </c>
    </row>
    <row r="669">
      <c r="F669">
        <f>F668+1</f>
        <v/>
      </c>
      <c r="G669" s="92">
        <f>EXP($C$12+$C$8*_xlfn.NORM.S.INV(RAND()))</f>
        <v/>
      </c>
    </row>
    <row r="670">
      <c r="F670">
        <f>F669+1</f>
        <v/>
      </c>
      <c r="G670" s="92">
        <f>EXP($C$12+$C$8*_xlfn.NORM.S.INV(RAND()))</f>
        <v/>
      </c>
    </row>
    <row r="671">
      <c r="F671">
        <f>F670+1</f>
        <v/>
      </c>
      <c r="G671" s="92">
        <f>EXP($C$12+$C$8*_xlfn.NORM.S.INV(RAND()))</f>
        <v/>
      </c>
    </row>
    <row r="672">
      <c r="F672">
        <f>F671+1</f>
        <v/>
      </c>
      <c r="G672" s="92">
        <f>EXP($C$12+$C$8*_xlfn.NORM.S.INV(RAND()))</f>
        <v/>
      </c>
    </row>
    <row r="673">
      <c r="F673">
        <f>F672+1</f>
        <v/>
      </c>
      <c r="G673" s="92">
        <f>EXP($C$12+$C$8*_xlfn.NORM.S.INV(RAND()))</f>
        <v/>
      </c>
    </row>
    <row r="674">
      <c r="F674">
        <f>F673+1</f>
        <v/>
      </c>
      <c r="G674" s="92">
        <f>EXP($C$12+$C$8*_xlfn.NORM.S.INV(RAND()))</f>
        <v/>
      </c>
    </row>
    <row r="675">
      <c r="F675">
        <f>F674+1</f>
        <v/>
      </c>
      <c r="G675" s="92">
        <f>EXP($C$12+$C$8*_xlfn.NORM.S.INV(RAND()))</f>
        <v/>
      </c>
    </row>
    <row r="676">
      <c r="F676">
        <f>F675+1</f>
        <v/>
      </c>
      <c r="G676" s="92">
        <f>EXP($C$12+$C$8*_xlfn.NORM.S.INV(RAND()))</f>
        <v/>
      </c>
    </row>
    <row r="677">
      <c r="F677">
        <f>F676+1</f>
        <v/>
      </c>
      <c r="G677" s="92">
        <f>EXP($C$12+$C$8*_xlfn.NORM.S.INV(RAND()))</f>
        <v/>
      </c>
    </row>
    <row r="678">
      <c r="F678">
        <f>F677+1</f>
        <v/>
      </c>
      <c r="G678" s="92">
        <f>EXP($C$12+$C$8*_xlfn.NORM.S.INV(RAND()))</f>
        <v/>
      </c>
    </row>
    <row r="679">
      <c r="F679">
        <f>F678+1</f>
        <v/>
      </c>
      <c r="G679" s="92">
        <f>EXP($C$12+$C$8*_xlfn.NORM.S.INV(RAND()))</f>
        <v/>
      </c>
    </row>
    <row r="680">
      <c r="F680">
        <f>F679+1</f>
        <v/>
      </c>
      <c r="G680" s="92">
        <f>EXP($C$12+$C$8*_xlfn.NORM.S.INV(RAND()))</f>
        <v/>
      </c>
    </row>
    <row r="681">
      <c r="F681">
        <f>F680+1</f>
        <v/>
      </c>
      <c r="G681" s="92">
        <f>EXP($C$12+$C$8*_xlfn.NORM.S.INV(RAND()))</f>
        <v/>
      </c>
    </row>
    <row r="682">
      <c r="F682">
        <f>F681+1</f>
        <v/>
      </c>
      <c r="G682" s="92">
        <f>EXP($C$12+$C$8*_xlfn.NORM.S.INV(RAND()))</f>
        <v/>
      </c>
    </row>
    <row r="683">
      <c r="F683">
        <f>F682+1</f>
        <v/>
      </c>
      <c r="G683" s="92">
        <f>EXP($C$12+$C$8*_xlfn.NORM.S.INV(RAND()))</f>
        <v/>
      </c>
    </row>
    <row r="684">
      <c r="F684">
        <f>F683+1</f>
        <v/>
      </c>
      <c r="G684" s="92">
        <f>EXP($C$12+$C$8*_xlfn.NORM.S.INV(RAND()))</f>
        <v/>
      </c>
    </row>
    <row r="685">
      <c r="F685">
        <f>F684+1</f>
        <v/>
      </c>
      <c r="G685" s="92">
        <f>EXP($C$12+$C$8*_xlfn.NORM.S.INV(RAND()))</f>
        <v/>
      </c>
    </row>
    <row r="686">
      <c r="F686">
        <f>F685+1</f>
        <v/>
      </c>
      <c r="G686" s="92">
        <f>EXP($C$12+$C$8*_xlfn.NORM.S.INV(RAND()))</f>
        <v/>
      </c>
    </row>
    <row r="687">
      <c r="F687">
        <f>F686+1</f>
        <v/>
      </c>
      <c r="G687" s="92">
        <f>EXP($C$12+$C$8*_xlfn.NORM.S.INV(RAND()))</f>
        <v/>
      </c>
    </row>
    <row r="688">
      <c r="F688">
        <f>F687+1</f>
        <v/>
      </c>
      <c r="G688" s="92">
        <f>EXP($C$12+$C$8*_xlfn.NORM.S.INV(RAND()))</f>
        <v/>
      </c>
    </row>
    <row r="689">
      <c r="F689">
        <f>F688+1</f>
        <v/>
      </c>
      <c r="G689" s="92">
        <f>EXP($C$12+$C$8*_xlfn.NORM.S.INV(RAND()))</f>
        <v/>
      </c>
    </row>
    <row r="690">
      <c r="F690">
        <f>F689+1</f>
        <v/>
      </c>
      <c r="G690" s="92">
        <f>EXP($C$12+$C$8*_xlfn.NORM.S.INV(RAND()))</f>
        <v/>
      </c>
    </row>
    <row r="691">
      <c r="F691">
        <f>F690+1</f>
        <v/>
      </c>
      <c r="G691" s="92">
        <f>EXP($C$12+$C$8*_xlfn.NORM.S.INV(RAND()))</f>
        <v/>
      </c>
    </row>
    <row r="692">
      <c r="F692">
        <f>F691+1</f>
        <v/>
      </c>
      <c r="G692" s="92">
        <f>EXP($C$12+$C$8*_xlfn.NORM.S.INV(RAND()))</f>
        <v/>
      </c>
    </row>
    <row r="693">
      <c r="F693">
        <f>F692+1</f>
        <v/>
      </c>
      <c r="G693" s="92">
        <f>EXP($C$12+$C$8*_xlfn.NORM.S.INV(RAND()))</f>
        <v/>
      </c>
    </row>
    <row r="694">
      <c r="F694">
        <f>F693+1</f>
        <v/>
      </c>
      <c r="G694" s="92">
        <f>EXP($C$12+$C$8*_xlfn.NORM.S.INV(RAND()))</f>
        <v/>
      </c>
    </row>
    <row r="695">
      <c r="F695">
        <f>F694+1</f>
        <v/>
      </c>
      <c r="G695" s="92">
        <f>EXP($C$12+$C$8*_xlfn.NORM.S.INV(RAND()))</f>
        <v/>
      </c>
    </row>
    <row r="696">
      <c r="F696">
        <f>F695+1</f>
        <v/>
      </c>
      <c r="G696" s="92">
        <f>EXP($C$12+$C$8*_xlfn.NORM.S.INV(RAND()))</f>
        <v/>
      </c>
    </row>
    <row r="697">
      <c r="F697">
        <f>F696+1</f>
        <v/>
      </c>
      <c r="G697" s="92">
        <f>EXP($C$12+$C$8*_xlfn.NORM.S.INV(RAND()))</f>
        <v/>
      </c>
    </row>
    <row r="698">
      <c r="F698">
        <f>F697+1</f>
        <v/>
      </c>
      <c r="G698" s="92">
        <f>EXP($C$12+$C$8*_xlfn.NORM.S.INV(RAND()))</f>
        <v/>
      </c>
    </row>
    <row r="699">
      <c r="F699">
        <f>F698+1</f>
        <v/>
      </c>
      <c r="G699" s="92">
        <f>EXP($C$12+$C$8*_xlfn.NORM.S.INV(RAND()))</f>
        <v/>
      </c>
    </row>
    <row r="700">
      <c r="F700">
        <f>F699+1</f>
        <v/>
      </c>
      <c r="G700" s="92">
        <f>EXP($C$12+$C$8*_xlfn.NORM.S.INV(RAND()))</f>
        <v/>
      </c>
    </row>
    <row r="701">
      <c r="F701">
        <f>F700+1</f>
        <v/>
      </c>
      <c r="G701" s="92">
        <f>EXP($C$12+$C$8*_xlfn.NORM.S.INV(RAND()))</f>
        <v/>
      </c>
    </row>
    <row r="702">
      <c r="F702">
        <f>F701+1</f>
        <v/>
      </c>
      <c r="G702" s="92">
        <f>EXP($C$12+$C$8*_xlfn.NORM.S.INV(RAND()))</f>
        <v/>
      </c>
    </row>
    <row r="703">
      <c r="F703">
        <f>F702+1</f>
        <v/>
      </c>
      <c r="G703" s="92">
        <f>EXP($C$12+$C$8*_xlfn.NORM.S.INV(RAND()))</f>
        <v/>
      </c>
    </row>
    <row r="704">
      <c r="F704">
        <f>F703+1</f>
        <v/>
      </c>
      <c r="G704" s="92">
        <f>EXP($C$12+$C$8*_xlfn.NORM.S.INV(RAND()))</f>
        <v/>
      </c>
    </row>
    <row r="705">
      <c r="F705">
        <f>F704+1</f>
        <v/>
      </c>
      <c r="G705" s="92">
        <f>EXP($C$12+$C$8*_xlfn.NORM.S.INV(RAND()))</f>
        <v/>
      </c>
    </row>
    <row r="706">
      <c r="F706">
        <f>F705+1</f>
        <v/>
      </c>
      <c r="G706" s="92">
        <f>EXP($C$12+$C$8*_xlfn.NORM.S.INV(RAND()))</f>
        <v/>
      </c>
    </row>
    <row r="707">
      <c r="F707">
        <f>F706+1</f>
        <v/>
      </c>
      <c r="G707" s="92">
        <f>EXP($C$12+$C$8*_xlfn.NORM.S.INV(RAND()))</f>
        <v/>
      </c>
    </row>
    <row r="708">
      <c r="F708">
        <f>F707+1</f>
        <v/>
      </c>
      <c r="G708" s="92">
        <f>EXP($C$12+$C$8*_xlfn.NORM.S.INV(RAND()))</f>
        <v/>
      </c>
    </row>
    <row r="709">
      <c r="F709">
        <f>F708+1</f>
        <v/>
      </c>
      <c r="G709" s="92">
        <f>EXP($C$12+$C$8*_xlfn.NORM.S.INV(RAND()))</f>
        <v/>
      </c>
    </row>
    <row r="710">
      <c r="F710">
        <f>F709+1</f>
        <v/>
      </c>
      <c r="G710" s="92">
        <f>EXP($C$12+$C$8*_xlfn.NORM.S.INV(RAND()))</f>
        <v/>
      </c>
    </row>
    <row r="711">
      <c r="F711">
        <f>F710+1</f>
        <v/>
      </c>
      <c r="G711" s="92">
        <f>EXP($C$12+$C$8*_xlfn.NORM.S.INV(RAND()))</f>
        <v/>
      </c>
    </row>
    <row r="712">
      <c r="F712">
        <f>F711+1</f>
        <v/>
      </c>
      <c r="G712" s="92">
        <f>EXP($C$12+$C$8*_xlfn.NORM.S.INV(RAND()))</f>
        <v/>
      </c>
    </row>
    <row r="713">
      <c r="F713">
        <f>F712+1</f>
        <v/>
      </c>
      <c r="G713" s="92">
        <f>EXP($C$12+$C$8*_xlfn.NORM.S.INV(RAND()))</f>
        <v/>
      </c>
    </row>
    <row r="714">
      <c r="F714">
        <f>F713+1</f>
        <v/>
      </c>
      <c r="G714" s="92">
        <f>EXP($C$12+$C$8*_xlfn.NORM.S.INV(RAND()))</f>
        <v/>
      </c>
    </row>
    <row r="715">
      <c r="F715">
        <f>F714+1</f>
        <v/>
      </c>
      <c r="G715" s="92">
        <f>EXP($C$12+$C$8*_xlfn.NORM.S.INV(RAND()))</f>
        <v/>
      </c>
    </row>
    <row r="716">
      <c r="F716">
        <f>F715+1</f>
        <v/>
      </c>
      <c r="G716" s="92">
        <f>EXP($C$12+$C$8*_xlfn.NORM.S.INV(RAND()))</f>
        <v/>
      </c>
    </row>
    <row r="717">
      <c r="F717">
        <f>F716+1</f>
        <v/>
      </c>
      <c r="G717" s="92">
        <f>EXP($C$12+$C$8*_xlfn.NORM.S.INV(RAND()))</f>
        <v/>
      </c>
    </row>
    <row r="718">
      <c r="F718">
        <f>F717+1</f>
        <v/>
      </c>
      <c r="G718" s="92">
        <f>EXP($C$12+$C$8*_xlfn.NORM.S.INV(RAND()))</f>
        <v/>
      </c>
    </row>
    <row r="719">
      <c r="F719">
        <f>F718+1</f>
        <v/>
      </c>
      <c r="G719" s="92">
        <f>EXP($C$12+$C$8*_xlfn.NORM.S.INV(RAND()))</f>
        <v/>
      </c>
    </row>
    <row r="720">
      <c r="F720">
        <f>F719+1</f>
        <v/>
      </c>
      <c r="G720" s="92">
        <f>EXP($C$12+$C$8*_xlfn.NORM.S.INV(RAND()))</f>
        <v/>
      </c>
    </row>
    <row r="721">
      <c r="F721">
        <f>F720+1</f>
        <v/>
      </c>
      <c r="G721" s="92">
        <f>EXP($C$12+$C$8*_xlfn.NORM.S.INV(RAND()))</f>
        <v/>
      </c>
    </row>
    <row r="722">
      <c r="F722">
        <f>F721+1</f>
        <v/>
      </c>
      <c r="G722" s="92">
        <f>EXP($C$12+$C$8*_xlfn.NORM.S.INV(RAND()))</f>
        <v/>
      </c>
    </row>
    <row r="723">
      <c r="F723">
        <f>F722+1</f>
        <v/>
      </c>
      <c r="G723" s="92">
        <f>EXP($C$12+$C$8*_xlfn.NORM.S.INV(RAND()))</f>
        <v/>
      </c>
    </row>
    <row r="724">
      <c r="F724">
        <f>F723+1</f>
        <v/>
      </c>
      <c r="G724" s="92">
        <f>EXP($C$12+$C$8*_xlfn.NORM.S.INV(RAND()))</f>
        <v/>
      </c>
    </row>
    <row r="725">
      <c r="F725">
        <f>F724+1</f>
        <v/>
      </c>
      <c r="G725" s="92">
        <f>EXP($C$12+$C$8*_xlfn.NORM.S.INV(RAND()))</f>
        <v/>
      </c>
    </row>
    <row r="726">
      <c r="F726">
        <f>F725+1</f>
        <v/>
      </c>
      <c r="G726" s="92">
        <f>EXP($C$12+$C$8*_xlfn.NORM.S.INV(RAND()))</f>
        <v/>
      </c>
    </row>
    <row r="727">
      <c r="F727">
        <f>F726+1</f>
        <v/>
      </c>
      <c r="G727" s="92">
        <f>EXP($C$12+$C$8*_xlfn.NORM.S.INV(RAND()))</f>
        <v/>
      </c>
    </row>
    <row r="728">
      <c r="F728">
        <f>F727+1</f>
        <v/>
      </c>
      <c r="G728" s="92">
        <f>EXP($C$12+$C$8*_xlfn.NORM.S.INV(RAND()))</f>
        <v/>
      </c>
    </row>
    <row r="729">
      <c r="F729">
        <f>F728+1</f>
        <v/>
      </c>
      <c r="G729" s="92">
        <f>EXP($C$12+$C$8*_xlfn.NORM.S.INV(RAND()))</f>
        <v/>
      </c>
    </row>
    <row r="730">
      <c r="F730">
        <f>F729+1</f>
        <v/>
      </c>
      <c r="G730" s="92">
        <f>EXP($C$12+$C$8*_xlfn.NORM.S.INV(RAND()))</f>
        <v/>
      </c>
    </row>
    <row r="731">
      <c r="F731">
        <f>F730+1</f>
        <v/>
      </c>
      <c r="G731" s="92">
        <f>EXP($C$12+$C$8*_xlfn.NORM.S.INV(RAND()))</f>
        <v/>
      </c>
    </row>
    <row r="732">
      <c r="F732">
        <f>F731+1</f>
        <v/>
      </c>
      <c r="G732" s="92">
        <f>EXP($C$12+$C$8*_xlfn.NORM.S.INV(RAND()))</f>
        <v/>
      </c>
    </row>
    <row r="733">
      <c r="F733">
        <f>F732+1</f>
        <v/>
      </c>
      <c r="G733" s="92">
        <f>EXP($C$12+$C$8*_xlfn.NORM.S.INV(RAND()))</f>
        <v/>
      </c>
    </row>
    <row r="734">
      <c r="F734">
        <f>F733+1</f>
        <v/>
      </c>
      <c r="G734" s="92">
        <f>EXP($C$12+$C$8*_xlfn.NORM.S.INV(RAND()))</f>
        <v/>
      </c>
    </row>
    <row r="735">
      <c r="F735">
        <f>F734+1</f>
        <v/>
      </c>
      <c r="G735" s="92">
        <f>EXP($C$12+$C$8*_xlfn.NORM.S.INV(RAND()))</f>
        <v/>
      </c>
    </row>
    <row r="736">
      <c r="F736">
        <f>F735+1</f>
        <v/>
      </c>
      <c r="G736" s="92">
        <f>EXP($C$12+$C$8*_xlfn.NORM.S.INV(RAND()))</f>
        <v/>
      </c>
    </row>
    <row r="737">
      <c r="F737">
        <f>F736+1</f>
        <v/>
      </c>
      <c r="G737" s="92">
        <f>EXP($C$12+$C$8*_xlfn.NORM.S.INV(RAND()))</f>
        <v/>
      </c>
    </row>
    <row r="738">
      <c r="F738">
        <f>F737+1</f>
        <v/>
      </c>
      <c r="G738" s="92">
        <f>EXP($C$12+$C$8*_xlfn.NORM.S.INV(RAND()))</f>
        <v/>
      </c>
    </row>
    <row r="739">
      <c r="F739">
        <f>F738+1</f>
        <v/>
      </c>
      <c r="G739" s="92">
        <f>EXP($C$12+$C$8*_xlfn.NORM.S.INV(RAND()))</f>
        <v/>
      </c>
    </row>
    <row r="740">
      <c r="F740">
        <f>F739+1</f>
        <v/>
      </c>
      <c r="G740" s="92">
        <f>EXP($C$12+$C$8*_xlfn.NORM.S.INV(RAND()))</f>
        <v/>
      </c>
    </row>
    <row r="741">
      <c r="F741">
        <f>F740+1</f>
        <v/>
      </c>
      <c r="G741" s="92">
        <f>EXP($C$12+$C$8*_xlfn.NORM.S.INV(RAND()))</f>
        <v/>
      </c>
    </row>
    <row r="742">
      <c r="F742">
        <f>F741+1</f>
        <v/>
      </c>
      <c r="G742" s="92">
        <f>EXP($C$12+$C$8*_xlfn.NORM.S.INV(RAND()))</f>
        <v/>
      </c>
    </row>
    <row r="743">
      <c r="F743">
        <f>F742+1</f>
        <v/>
      </c>
      <c r="G743" s="92">
        <f>EXP($C$12+$C$8*_xlfn.NORM.S.INV(RAND()))</f>
        <v/>
      </c>
    </row>
    <row r="744">
      <c r="F744">
        <f>F743+1</f>
        <v/>
      </c>
      <c r="G744" s="92">
        <f>EXP($C$12+$C$8*_xlfn.NORM.S.INV(RAND()))</f>
        <v/>
      </c>
    </row>
    <row r="745">
      <c r="F745">
        <f>F744+1</f>
        <v/>
      </c>
      <c r="G745" s="92">
        <f>EXP($C$12+$C$8*_xlfn.NORM.S.INV(RAND()))</f>
        <v/>
      </c>
    </row>
    <row r="746">
      <c r="F746">
        <f>F745+1</f>
        <v/>
      </c>
      <c r="G746" s="92">
        <f>EXP($C$12+$C$8*_xlfn.NORM.S.INV(RAND()))</f>
        <v/>
      </c>
    </row>
    <row r="747">
      <c r="F747">
        <f>F746+1</f>
        <v/>
      </c>
      <c r="G747" s="92">
        <f>EXP($C$12+$C$8*_xlfn.NORM.S.INV(RAND()))</f>
        <v/>
      </c>
    </row>
    <row r="748">
      <c r="F748">
        <f>F747+1</f>
        <v/>
      </c>
      <c r="G748" s="92">
        <f>EXP($C$12+$C$8*_xlfn.NORM.S.INV(RAND()))</f>
        <v/>
      </c>
    </row>
    <row r="749">
      <c r="F749">
        <f>F748+1</f>
        <v/>
      </c>
      <c r="G749" s="92">
        <f>EXP($C$12+$C$8*_xlfn.NORM.S.INV(RAND()))</f>
        <v/>
      </c>
    </row>
    <row r="750">
      <c r="F750">
        <f>F749+1</f>
        <v/>
      </c>
      <c r="G750" s="92">
        <f>EXP($C$12+$C$8*_xlfn.NORM.S.INV(RAND()))</f>
        <v/>
      </c>
    </row>
    <row r="751">
      <c r="F751">
        <f>F750+1</f>
        <v/>
      </c>
      <c r="G751" s="92">
        <f>EXP($C$12+$C$8*_xlfn.NORM.S.INV(RAND()))</f>
        <v/>
      </c>
    </row>
    <row r="752">
      <c r="F752">
        <f>F751+1</f>
        <v/>
      </c>
      <c r="G752" s="92">
        <f>EXP($C$12+$C$8*_xlfn.NORM.S.INV(RAND()))</f>
        <v/>
      </c>
    </row>
    <row r="753">
      <c r="F753">
        <f>F752+1</f>
        <v/>
      </c>
      <c r="G753" s="92">
        <f>EXP($C$12+$C$8*_xlfn.NORM.S.INV(RAND()))</f>
        <v/>
      </c>
    </row>
    <row r="754">
      <c r="F754">
        <f>F753+1</f>
        <v/>
      </c>
      <c r="G754" s="92">
        <f>EXP($C$12+$C$8*_xlfn.NORM.S.INV(RAND()))</f>
        <v/>
      </c>
    </row>
    <row r="755">
      <c r="F755">
        <f>F754+1</f>
        <v/>
      </c>
      <c r="G755" s="92">
        <f>EXP($C$12+$C$8*_xlfn.NORM.S.INV(RAND()))</f>
        <v/>
      </c>
    </row>
    <row r="756">
      <c r="F756">
        <f>F755+1</f>
        <v/>
      </c>
      <c r="G756" s="92">
        <f>EXP($C$12+$C$8*_xlfn.NORM.S.INV(RAND()))</f>
        <v/>
      </c>
    </row>
    <row r="757">
      <c r="F757">
        <f>F756+1</f>
        <v/>
      </c>
      <c r="G757" s="92">
        <f>EXP($C$12+$C$8*_xlfn.NORM.S.INV(RAND()))</f>
        <v/>
      </c>
    </row>
    <row r="758">
      <c r="F758">
        <f>F757+1</f>
        <v/>
      </c>
      <c r="G758" s="92">
        <f>EXP($C$12+$C$8*_xlfn.NORM.S.INV(RAND()))</f>
        <v/>
      </c>
    </row>
    <row r="759">
      <c r="F759">
        <f>F758+1</f>
        <v/>
      </c>
      <c r="G759" s="92">
        <f>EXP($C$12+$C$8*_xlfn.NORM.S.INV(RAND()))</f>
        <v/>
      </c>
    </row>
    <row r="760">
      <c r="F760">
        <f>F759+1</f>
        <v/>
      </c>
      <c r="G760" s="92">
        <f>EXP($C$12+$C$8*_xlfn.NORM.S.INV(RAND()))</f>
        <v/>
      </c>
    </row>
    <row r="761">
      <c r="F761">
        <f>F760+1</f>
        <v/>
      </c>
      <c r="G761" s="92">
        <f>EXP($C$12+$C$8*_xlfn.NORM.S.INV(RAND()))</f>
        <v/>
      </c>
    </row>
    <row r="762">
      <c r="F762">
        <f>F761+1</f>
        <v/>
      </c>
      <c r="G762" s="92">
        <f>EXP($C$12+$C$8*_xlfn.NORM.S.INV(RAND()))</f>
        <v/>
      </c>
    </row>
    <row r="763">
      <c r="F763">
        <f>F762+1</f>
        <v/>
      </c>
      <c r="G763" s="92">
        <f>EXP($C$12+$C$8*_xlfn.NORM.S.INV(RAND()))</f>
        <v/>
      </c>
    </row>
    <row r="764">
      <c r="F764">
        <f>F763+1</f>
        <v/>
      </c>
      <c r="G764" s="92">
        <f>EXP($C$12+$C$8*_xlfn.NORM.S.INV(RAND()))</f>
        <v/>
      </c>
    </row>
    <row r="765">
      <c r="F765">
        <f>F764+1</f>
        <v/>
      </c>
      <c r="G765" s="92">
        <f>EXP($C$12+$C$8*_xlfn.NORM.S.INV(RAND()))</f>
        <v/>
      </c>
    </row>
    <row r="766">
      <c r="F766">
        <f>F765+1</f>
        <v/>
      </c>
      <c r="G766" s="92">
        <f>EXP($C$12+$C$8*_xlfn.NORM.S.INV(RAND()))</f>
        <v/>
      </c>
    </row>
    <row r="767">
      <c r="F767">
        <f>F766+1</f>
        <v/>
      </c>
      <c r="G767" s="92">
        <f>EXP($C$12+$C$8*_xlfn.NORM.S.INV(RAND()))</f>
        <v/>
      </c>
    </row>
    <row r="768">
      <c r="F768">
        <f>F767+1</f>
        <v/>
      </c>
      <c r="G768" s="92">
        <f>EXP($C$12+$C$8*_xlfn.NORM.S.INV(RAND()))</f>
        <v/>
      </c>
    </row>
    <row r="769">
      <c r="F769">
        <f>F768+1</f>
        <v/>
      </c>
      <c r="G769" s="92">
        <f>EXP($C$12+$C$8*_xlfn.NORM.S.INV(RAND()))</f>
        <v/>
      </c>
    </row>
    <row r="770">
      <c r="F770">
        <f>F769+1</f>
        <v/>
      </c>
      <c r="G770" s="92">
        <f>EXP($C$12+$C$8*_xlfn.NORM.S.INV(RAND()))</f>
        <v/>
      </c>
    </row>
    <row r="771">
      <c r="F771">
        <f>F770+1</f>
        <v/>
      </c>
      <c r="G771" s="92">
        <f>EXP($C$12+$C$8*_xlfn.NORM.S.INV(RAND()))</f>
        <v/>
      </c>
    </row>
    <row r="772">
      <c r="F772">
        <f>F771+1</f>
        <v/>
      </c>
      <c r="G772" s="92">
        <f>EXP($C$12+$C$8*_xlfn.NORM.S.INV(RAND()))</f>
        <v/>
      </c>
    </row>
    <row r="773">
      <c r="F773">
        <f>F772+1</f>
        <v/>
      </c>
      <c r="G773" s="92">
        <f>EXP($C$12+$C$8*_xlfn.NORM.S.INV(RAND()))</f>
        <v/>
      </c>
    </row>
    <row r="774">
      <c r="F774">
        <f>F773+1</f>
        <v/>
      </c>
      <c r="G774" s="92">
        <f>EXP($C$12+$C$8*_xlfn.NORM.S.INV(RAND()))</f>
        <v/>
      </c>
    </row>
    <row r="775">
      <c r="F775">
        <f>F774+1</f>
        <v/>
      </c>
      <c r="G775" s="92">
        <f>EXP($C$12+$C$8*_xlfn.NORM.S.INV(RAND()))</f>
        <v/>
      </c>
    </row>
    <row r="776">
      <c r="F776">
        <f>F775+1</f>
        <v/>
      </c>
      <c r="G776" s="92">
        <f>EXP($C$12+$C$8*_xlfn.NORM.S.INV(RAND()))</f>
        <v/>
      </c>
    </row>
    <row r="777">
      <c r="F777">
        <f>F776+1</f>
        <v/>
      </c>
      <c r="G777" s="92">
        <f>EXP($C$12+$C$8*_xlfn.NORM.S.INV(RAND()))</f>
        <v/>
      </c>
    </row>
    <row r="778">
      <c r="F778">
        <f>F777+1</f>
        <v/>
      </c>
      <c r="G778" s="92">
        <f>EXP($C$12+$C$8*_xlfn.NORM.S.INV(RAND()))</f>
        <v/>
      </c>
    </row>
    <row r="779">
      <c r="F779">
        <f>F778+1</f>
        <v/>
      </c>
      <c r="G779" s="92">
        <f>EXP($C$12+$C$8*_xlfn.NORM.S.INV(RAND()))</f>
        <v/>
      </c>
    </row>
    <row r="780">
      <c r="F780">
        <f>F779+1</f>
        <v/>
      </c>
      <c r="G780" s="92">
        <f>EXP($C$12+$C$8*_xlfn.NORM.S.INV(RAND()))</f>
        <v/>
      </c>
    </row>
    <row r="781">
      <c r="F781">
        <f>F780+1</f>
        <v/>
      </c>
      <c r="G781" s="92">
        <f>EXP($C$12+$C$8*_xlfn.NORM.S.INV(RAND()))</f>
        <v/>
      </c>
    </row>
    <row r="782">
      <c r="F782">
        <f>F781+1</f>
        <v/>
      </c>
      <c r="G782" s="92">
        <f>EXP($C$12+$C$8*_xlfn.NORM.S.INV(RAND()))</f>
        <v/>
      </c>
    </row>
    <row r="783">
      <c r="F783">
        <f>F782+1</f>
        <v/>
      </c>
      <c r="G783" s="92">
        <f>EXP($C$12+$C$8*_xlfn.NORM.S.INV(RAND()))</f>
        <v/>
      </c>
    </row>
    <row r="784">
      <c r="F784">
        <f>F783+1</f>
        <v/>
      </c>
      <c r="G784" s="92">
        <f>EXP($C$12+$C$8*_xlfn.NORM.S.INV(RAND()))</f>
        <v/>
      </c>
    </row>
    <row r="785">
      <c r="F785">
        <f>F784+1</f>
        <v/>
      </c>
      <c r="G785" s="92">
        <f>EXP($C$12+$C$8*_xlfn.NORM.S.INV(RAND()))</f>
        <v/>
      </c>
    </row>
    <row r="786">
      <c r="F786">
        <f>F785+1</f>
        <v/>
      </c>
      <c r="G786" s="92">
        <f>EXP($C$12+$C$8*_xlfn.NORM.S.INV(RAND()))</f>
        <v/>
      </c>
    </row>
    <row r="787">
      <c r="F787">
        <f>F786+1</f>
        <v/>
      </c>
      <c r="G787" s="92">
        <f>EXP($C$12+$C$8*_xlfn.NORM.S.INV(RAND()))</f>
        <v/>
      </c>
    </row>
    <row r="788">
      <c r="F788">
        <f>F787+1</f>
        <v/>
      </c>
      <c r="G788" s="92">
        <f>EXP($C$12+$C$8*_xlfn.NORM.S.INV(RAND()))</f>
        <v/>
      </c>
    </row>
    <row r="789">
      <c r="F789">
        <f>F788+1</f>
        <v/>
      </c>
      <c r="G789" s="92">
        <f>EXP($C$12+$C$8*_xlfn.NORM.S.INV(RAND()))</f>
        <v/>
      </c>
    </row>
    <row r="790">
      <c r="F790">
        <f>F789+1</f>
        <v/>
      </c>
      <c r="G790" s="92">
        <f>EXP($C$12+$C$8*_xlfn.NORM.S.INV(RAND()))</f>
        <v/>
      </c>
    </row>
    <row r="791">
      <c r="F791">
        <f>F790+1</f>
        <v/>
      </c>
      <c r="G791" s="92">
        <f>EXP($C$12+$C$8*_xlfn.NORM.S.INV(RAND()))</f>
        <v/>
      </c>
    </row>
    <row r="792">
      <c r="F792">
        <f>F791+1</f>
        <v/>
      </c>
      <c r="G792" s="92">
        <f>EXP($C$12+$C$8*_xlfn.NORM.S.INV(RAND()))</f>
        <v/>
      </c>
    </row>
    <row r="793">
      <c r="F793">
        <f>F792+1</f>
        <v/>
      </c>
      <c r="G793" s="92">
        <f>EXP($C$12+$C$8*_xlfn.NORM.S.INV(RAND()))</f>
        <v/>
      </c>
    </row>
    <row r="794">
      <c r="F794">
        <f>F793+1</f>
        <v/>
      </c>
      <c r="G794" s="92">
        <f>EXP($C$12+$C$8*_xlfn.NORM.S.INV(RAND()))</f>
        <v/>
      </c>
    </row>
    <row r="795">
      <c r="F795">
        <f>F794+1</f>
        <v/>
      </c>
      <c r="G795" s="92">
        <f>EXP($C$12+$C$8*_xlfn.NORM.S.INV(RAND()))</f>
        <v/>
      </c>
    </row>
    <row r="796">
      <c r="F796">
        <f>F795+1</f>
        <v/>
      </c>
      <c r="G796" s="92">
        <f>EXP($C$12+$C$8*_xlfn.NORM.S.INV(RAND()))</f>
        <v/>
      </c>
    </row>
    <row r="797">
      <c r="F797">
        <f>F796+1</f>
        <v/>
      </c>
      <c r="G797" s="92">
        <f>EXP($C$12+$C$8*_xlfn.NORM.S.INV(RAND()))</f>
        <v/>
      </c>
    </row>
    <row r="798">
      <c r="F798">
        <f>F797+1</f>
        <v/>
      </c>
      <c r="G798" s="92">
        <f>EXP($C$12+$C$8*_xlfn.NORM.S.INV(RAND()))</f>
        <v/>
      </c>
    </row>
    <row r="799">
      <c r="F799">
        <f>F798+1</f>
        <v/>
      </c>
      <c r="G799" s="92">
        <f>EXP($C$12+$C$8*_xlfn.NORM.S.INV(RAND()))</f>
        <v/>
      </c>
    </row>
    <row r="800">
      <c r="F800">
        <f>F799+1</f>
        <v/>
      </c>
      <c r="G800" s="92">
        <f>EXP($C$12+$C$8*_xlfn.NORM.S.INV(RAND()))</f>
        <v/>
      </c>
    </row>
    <row r="801">
      <c r="F801">
        <f>F800+1</f>
        <v/>
      </c>
      <c r="G801" s="92">
        <f>EXP($C$12+$C$8*_xlfn.NORM.S.INV(RAND()))</f>
        <v/>
      </c>
    </row>
    <row r="802">
      <c r="F802">
        <f>F801+1</f>
        <v/>
      </c>
      <c r="G802" s="92">
        <f>EXP($C$12+$C$8*_xlfn.NORM.S.INV(RAND()))</f>
        <v/>
      </c>
    </row>
    <row r="803">
      <c r="F803">
        <f>F802+1</f>
        <v/>
      </c>
      <c r="G803" s="92">
        <f>EXP($C$12+$C$8*_xlfn.NORM.S.INV(RAND()))</f>
        <v/>
      </c>
    </row>
    <row r="804">
      <c r="F804">
        <f>F803+1</f>
        <v/>
      </c>
      <c r="G804" s="92">
        <f>EXP($C$12+$C$8*_xlfn.NORM.S.INV(RAND()))</f>
        <v/>
      </c>
    </row>
    <row r="805">
      <c r="F805">
        <f>F804+1</f>
        <v/>
      </c>
      <c r="G805" s="92">
        <f>EXP($C$12+$C$8*_xlfn.NORM.S.INV(RAND()))</f>
        <v/>
      </c>
    </row>
    <row r="806">
      <c r="F806">
        <f>F805+1</f>
        <v/>
      </c>
      <c r="G806" s="92">
        <f>EXP($C$12+$C$8*_xlfn.NORM.S.INV(RAND()))</f>
        <v/>
      </c>
    </row>
    <row r="807">
      <c r="F807">
        <f>F806+1</f>
        <v/>
      </c>
      <c r="G807" s="92">
        <f>EXP($C$12+$C$8*_xlfn.NORM.S.INV(RAND()))</f>
        <v/>
      </c>
    </row>
    <row r="808">
      <c r="F808">
        <f>F807+1</f>
        <v/>
      </c>
      <c r="G808" s="92">
        <f>EXP($C$12+$C$8*_xlfn.NORM.S.INV(RAND()))</f>
        <v/>
      </c>
    </row>
    <row r="809">
      <c r="F809">
        <f>F808+1</f>
        <v/>
      </c>
      <c r="G809" s="92">
        <f>EXP($C$12+$C$8*_xlfn.NORM.S.INV(RAND()))</f>
        <v/>
      </c>
    </row>
    <row r="810">
      <c r="F810">
        <f>F809+1</f>
        <v/>
      </c>
      <c r="G810" s="92">
        <f>EXP($C$12+$C$8*_xlfn.NORM.S.INV(RAND()))</f>
        <v/>
      </c>
    </row>
    <row r="811">
      <c r="F811">
        <f>F810+1</f>
        <v/>
      </c>
      <c r="G811" s="92">
        <f>EXP($C$12+$C$8*_xlfn.NORM.S.INV(RAND()))</f>
        <v/>
      </c>
    </row>
    <row r="812">
      <c r="F812">
        <f>F811+1</f>
        <v/>
      </c>
      <c r="G812" s="92">
        <f>EXP($C$12+$C$8*_xlfn.NORM.S.INV(RAND()))</f>
        <v/>
      </c>
    </row>
    <row r="813">
      <c r="F813">
        <f>F812+1</f>
        <v/>
      </c>
      <c r="G813" s="92">
        <f>EXP($C$12+$C$8*_xlfn.NORM.S.INV(RAND()))</f>
        <v/>
      </c>
    </row>
    <row r="814">
      <c r="F814">
        <f>F813+1</f>
        <v/>
      </c>
      <c r="G814" s="92">
        <f>EXP($C$12+$C$8*_xlfn.NORM.S.INV(RAND()))</f>
        <v/>
      </c>
    </row>
    <row r="815">
      <c r="F815">
        <f>F814+1</f>
        <v/>
      </c>
      <c r="G815" s="92">
        <f>EXP($C$12+$C$8*_xlfn.NORM.S.INV(RAND()))</f>
        <v/>
      </c>
    </row>
    <row r="816">
      <c r="F816">
        <f>F815+1</f>
        <v/>
      </c>
      <c r="G816" s="92">
        <f>EXP($C$12+$C$8*_xlfn.NORM.S.INV(RAND()))</f>
        <v/>
      </c>
    </row>
    <row r="817">
      <c r="F817">
        <f>F816+1</f>
        <v/>
      </c>
      <c r="G817" s="92">
        <f>EXP($C$12+$C$8*_xlfn.NORM.S.INV(RAND()))</f>
        <v/>
      </c>
    </row>
    <row r="818">
      <c r="F818">
        <f>F817+1</f>
        <v/>
      </c>
      <c r="G818" s="92">
        <f>EXP($C$12+$C$8*_xlfn.NORM.S.INV(RAND()))</f>
        <v/>
      </c>
    </row>
    <row r="819">
      <c r="F819">
        <f>F818+1</f>
        <v/>
      </c>
      <c r="G819" s="92">
        <f>EXP($C$12+$C$8*_xlfn.NORM.S.INV(RAND()))</f>
        <v/>
      </c>
    </row>
    <row r="820">
      <c r="F820">
        <f>F819+1</f>
        <v/>
      </c>
      <c r="G820" s="92">
        <f>EXP($C$12+$C$8*_xlfn.NORM.S.INV(RAND()))</f>
        <v/>
      </c>
    </row>
    <row r="821">
      <c r="F821">
        <f>F820+1</f>
        <v/>
      </c>
      <c r="G821" s="92">
        <f>EXP($C$12+$C$8*_xlfn.NORM.S.INV(RAND()))</f>
        <v/>
      </c>
    </row>
    <row r="822">
      <c r="F822">
        <f>F821+1</f>
        <v/>
      </c>
      <c r="G822" s="92">
        <f>EXP($C$12+$C$8*_xlfn.NORM.S.INV(RAND()))</f>
        <v/>
      </c>
    </row>
    <row r="823">
      <c r="F823">
        <f>F822+1</f>
        <v/>
      </c>
      <c r="G823" s="92">
        <f>EXP($C$12+$C$8*_xlfn.NORM.S.INV(RAND()))</f>
        <v/>
      </c>
    </row>
    <row r="824">
      <c r="F824">
        <f>F823+1</f>
        <v/>
      </c>
      <c r="G824" s="92">
        <f>EXP($C$12+$C$8*_xlfn.NORM.S.INV(RAND()))</f>
        <v/>
      </c>
    </row>
    <row r="825">
      <c r="F825">
        <f>F824+1</f>
        <v/>
      </c>
      <c r="G825" s="92">
        <f>EXP($C$12+$C$8*_xlfn.NORM.S.INV(RAND()))</f>
        <v/>
      </c>
    </row>
    <row r="826">
      <c r="F826">
        <f>F825+1</f>
        <v/>
      </c>
      <c r="G826" s="92">
        <f>EXP($C$12+$C$8*_xlfn.NORM.S.INV(RAND()))</f>
        <v/>
      </c>
    </row>
    <row r="827">
      <c r="F827">
        <f>F826+1</f>
        <v/>
      </c>
      <c r="G827" s="92">
        <f>EXP($C$12+$C$8*_xlfn.NORM.S.INV(RAND()))</f>
        <v/>
      </c>
    </row>
    <row r="828">
      <c r="F828">
        <f>F827+1</f>
        <v/>
      </c>
      <c r="G828" s="92">
        <f>EXP($C$12+$C$8*_xlfn.NORM.S.INV(RAND()))</f>
        <v/>
      </c>
    </row>
    <row r="829">
      <c r="F829">
        <f>F828+1</f>
        <v/>
      </c>
      <c r="G829" s="92">
        <f>EXP($C$12+$C$8*_xlfn.NORM.S.INV(RAND()))</f>
        <v/>
      </c>
    </row>
    <row r="830">
      <c r="F830">
        <f>F829+1</f>
        <v/>
      </c>
      <c r="G830" s="92">
        <f>EXP($C$12+$C$8*_xlfn.NORM.S.INV(RAND()))</f>
        <v/>
      </c>
    </row>
    <row r="831">
      <c r="F831">
        <f>F830+1</f>
        <v/>
      </c>
      <c r="G831" s="92">
        <f>EXP($C$12+$C$8*_xlfn.NORM.S.INV(RAND()))</f>
        <v/>
      </c>
    </row>
    <row r="832">
      <c r="F832">
        <f>F831+1</f>
        <v/>
      </c>
      <c r="G832" s="92">
        <f>EXP($C$12+$C$8*_xlfn.NORM.S.INV(RAND()))</f>
        <v/>
      </c>
    </row>
    <row r="833">
      <c r="F833">
        <f>F832+1</f>
        <v/>
      </c>
      <c r="G833" s="92">
        <f>EXP($C$12+$C$8*_xlfn.NORM.S.INV(RAND()))</f>
        <v/>
      </c>
    </row>
    <row r="834">
      <c r="F834">
        <f>F833+1</f>
        <v/>
      </c>
      <c r="G834" s="92">
        <f>EXP($C$12+$C$8*_xlfn.NORM.S.INV(RAND()))</f>
        <v/>
      </c>
    </row>
    <row r="835">
      <c r="F835">
        <f>F834+1</f>
        <v/>
      </c>
      <c r="G835" s="92">
        <f>EXP($C$12+$C$8*_xlfn.NORM.S.INV(RAND()))</f>
        <v/>
      </c>
    </row>
    <row r="836">
      <c r="F836">
        <f>F835+1</f>
        <v/>
      </c>
      <c r="G836" s="92">
        <f>EXP($C$12+$C$8*_xlfn.NORM.S.INV(RAND()))</f>
        <v/>
      </c>
    </row>
    <row r="837">
      <c r="F837">
        <f>F836+1</f>
        <v/>
      </c>
      <c r="G837" s="92">
        <f>EXP($C$12+$C$8*_xlfn.NORM.S.INV(RAND()))</f>
        <v/>
      </c>
    </row>
    <row r="838">
      <c r="F838">
        <f>F837+1</f>
        <v/>
      </c>
      <c r="G838" s="92">
        <f>EXP($C$12+$C$8*_xlfn.NORM.S.INV(RAND()))</f>
        <v/>
      </c>
    </row>
    <row r="839">
      <c r="F839">
        <f>F838+1</f>
        <v/>
      </c>
      <c r="G839" s="92">
        <f>EXP($C$12+$C$8*_xlfn.NORM.S.INV(RAND()))</f>
        <v/>
      </c>
    </row>
    <row r="840">
      <c r="F840">
        <f>F839+1</f>
        <v/>
      </c>
      <c r="G840" s="92">
        <f>EXP($C$12+$C$8*_xlfn.NORM.S.INV(RAND()))</f>
        <v/>
      </c>
    </row>
    <row r="841">
      <c r="F841">
        <f>F840+1</f>
        <v/>
      </c>
      <c r="G841" s="92">
        <f>EXP($C$12+$C$8*_xlfn.NORM.S.INV(RAND()))</f>
        <v/>
      </c>
    </row>
    <row r="842">
      <c r="F842">
        <f>F841+1</f>
        <v/>
      </c>
      <c r="G842" s="92">
        <f>EXP($C$12+$C$8*_xlfn.NORM.S.INV(RAND()))</f>
        <v/>
      </c>
    </row>
    <row r="843">
      <c r="F843">
        <f>F842+1</f>
        <v/>
      </c>
      <c r="G843" s="92">
        <f>EXP($C$12+$C$8*_xlfn.NORM.S.INV(RAND()))</f>
        <v/>
      </c>
    </row>
    <row r="844">
      <c r="F844">
        <f>F843+1</f>
        <v/>
      </c>
      <c r="G844" s="92">
        <f>EXP($C$12+$C$8*_xlfn.NORM.S.INV(RAND()))</f>
        <v/>
      </c>
    </row>
    <row r="845">
      <c r="F845">
        <f>F844+1</f>
        <v/>
      </c>
      <c r="G845" s="92">
        <f>EXP($C$12+$C$8*_xlfn.NORM.S.INV(RAND()))</f>
        <v/>
      </c>
    </row>
    <row r="846">
      <c r="F846">
        <f>F845+1</f>
        <v/>
      </c>
      <c r="G846" s="92">
        <f>EXP($C$12+$C$8*_xlfn.NORM.S.INV(RAND()))</f>
        <v/>
      </c>
    </row>
    <row r="847">
      <c r="F847">
        <f>F846+1</f>
        <v/>
      </c>
      <c r="G847" s="92">
        <f>EXP($C$12+$C$8*_xlfn.NORM.S.INV(RAND()))</f>
        <v/>
      </c>
    </row>
    <row r="848">
      <c r="F848">
        <f>F847+1</f>
        <v/>
      </c>
      <c r="G848" s="92">
        <f>EXP($C$12+$C$8*_xlfn.NORM.S.INV(RAND()))</f>
        <v/>
      </c>
    </row>
    <row r="849">
      <c r="F849">
        <f>F848+1</f>
        <v/>
      </c>
      <c r="G849" s="92">
        <f>EXP($C$12+$C$8*_xlfn.NORM.S.INV(RAND()))</f>
        <v/>
      </c>
    </row>
    <row r="850">
      <c r="F850">
        <f>F849+1</f>
        <v/>
      </c>
      <c r="G850" s="92">
        <f>EXP($C$12+$C$8*_xlfn.NORM.S.INV(RAND()))</f>
        <v/>
      </c>
    </row>
    <row r="851">
      <c r="F851">
        <f>F850+1</f>
        <v/>
      </c>
      <c r="G851" s="92">
        <f>EXP($C$12+$C$8*_xlfn.NORM.S.INV(RAND()))</f>
        <v/>
      </c>
    </row>
    <row r="852">
      <c r="F852">
        <f>F851+1</f>
        <v/>
      </c>
      <c r="G852" s="92">
        <f>EXP($C$12+$C$8*_xlfn.NORM.S.INV(RAND()))</f>
        <v/>
      </c>
    </row>
    <row r="853">
      <c r="F853">
        <f>F852+1</f>
        <v/>
      </c>
      <c r="G853" s="92">
        <f>EXP($C$12+$C$8*_xlfn.NORM.S.INV(RAND()))</f>
        <v/>
      </c>
    </row>
    <row r="854">
      <c r="F854">
        <f>F853+1</f>
        <v/>
      </c>
      <c r="G854" s="92">
        <f>EXP($C$12+$C$8*_xlfn.NORM.S.INV(RAND()))</f>
        <v/>
      </c>
    </row>
    <row r="855">
      <c r="F855">
        <f>F854+1</f>
        <v/>
      </c>
      <c r="G855" s="92">
        <f>EXP($C$12+$C$8*_xlfn.NORM.S.INV(RAND()))</f>
        <v/>
      </c>
    </row>
    <row r="856">
      <c r="F856">
        <f>F855+1</f>
        <v/>
      </c>
      <c r="G856" s="92">
        <f>EXP($C$12+$C$8*_xlfn.NORM.S.INV(RAND()))</f>
        <v/>
      </c>
    </row>
    <row r="857">
      <c r="F857">
        <f>F856+1</f>
        <v/>
      </c>
      <c r="G857" s="92">
        <f>EXP($C$12+$C$8*_xlfn.NORM.S.INV(RAND()))</f>
        <v/>
      </c>
    </row>
    <row r="858">
      <c r="F858">
        <f>F857+1</f>
        <v/>
      </c>
      <c r="G858" s="92">
        <f>EXP($C$12+$C$8*_xlfn.NORM.S.INV(RAND()))</f>
        <v/>
      </c>
    </row>
    <row r="859">
      <c r="F859">
        <f>F858+1</f>
        <v/>
      </c>
      <c r="G859" s="92">
        <f>EXP($C$12+$C$8*_xlfn.NORM.S.INV(RAND()))</f>
        <v/>
      </c>
    </row>
    <row r="860">
      <c r="F860">
        <f>F859+1</f>
        <v/>
      </c>
      <c r="G860" s="92">
        <f>EXP($C$12+$C$8*_xlfn.NORM.S.INV(RAND()))</f>
        <v/>
      </c>
    </row>
    <row r="861">
      <c r="F861">
        <f>F860+1</f>
        <v/>
      </c>
      <c r="G861" s="92">
        <f>EXP($C$12+$C$8*_xlfn.NORM.S.INV(RAND()))</f>
        <v/>
      </c>
    </row>
    <row r="862">
      <c r="F862">
        <f>F861+1</f>
        <v/>
      </c>
      <c r="G862" s="92">
        <f>EXP($C$12+$C$8*_xlfn.NORM.S.INV(RAND()))</f>
        <v/>
      </c>
    </row>
    <row r="863">
      <c r="F863">
        <f>F862+1</f>
        <v/>
      </c>
      <c r="G863" s="92">
        <f>EXP($C$12+$C$8*_xlfn.NORM.S.INV(RAND()))</f>
        <v/>
      </c>
    </row>
    <row r="864">
      <c r="F864">
        <f>F863+1</f>
        <v/>
      </c>
      <c r="G864" s="92">
        <f>EXP($C$12+$C$8*_xlfn.NORM.S.INV(RAND()))</f>
        <v/>
      </c>
    </row>
    <row r="865">
      <c r="F865">
        <f>F864+1</f>
        <v/>
      </c>
      <c r="G865" s="92">
        <f>EXP($C$12+$C$8*_xlfn.NORM.S.INV(RAND()))</f>
        <v/>
      </c>
    </row>
    <row r="866">
      <c r="F866">
        <f>F865+1</f>
        <v/>
      </c>
      <c r="G866" s="92">
        <f>EXP($C$12+$C$8*_xlfn.NORM.S.INV(RAND()))</f>
        <v/>
      </c>
    </row>
    <row r="867">
      <c r="F867">
        <f>F866+1</f>
        <v/>
      </c>
      <c r="G867" s="92">
        <f>EXP($C$12+$C$8*_xlfn.NORM.S.INV(RAND()))</f>
        <v/>
      </c>
    </row>
    <row r="868">
      <c r="F868">
        <f>F867+1</f>
        <v/>
      </c>
      <c r="G868" s="92">
        <f>EXP($C$12+$C$8*_xlfn.NORM.S.INV(RAND()))</f>
        <v/>
      </c>
    </row>
    <row r="869">
      <c r="F869">
        <f>F868+1</f>
        <v/>
      </c>
      <c r="G869" s="92">
        <f>EXP($C$12+$C$8*_xlfn.NORM.S.INV(RAND()))</f>
        <v/>
      </c>
    </row>
    <row r="870">
      <c r="F870">
        <f>F869+1</f>
        <v/>
      </c>
      <c r="G870" s="92">
        <f>EXP($C$12+$C$8*_xlfn.NORM.S.INV(RAND()))</f>
        <v/>
      </c>
    </row>
    <row r="871">
      <c r="F871">
        <f>F870+1</f>
        <v/>
      </c>
      <c r="G871" s="92">
        <f>EXP($C$12+$C$8*_xlfn.NORM.S.INV(RAND()))</f>
        <v/>
      </c>
    </row>
    <row r="872">
      <c r="F872">
        <f>F871+1</f>
        <v/>
      </c>
      <c r="G872" s="92">
        <f>EXP($C$12+$C$8*_xlfn.NORM.S.INV(RAND()))</f>
        <v/>
      </c>
    </row>
    <row r="873">
      <c r="F873">
        <f>F872+1</f>
        <v/>
      </c>
      <c r="G873" s="92">
        <f>EXP($C$12+$C$8*_xlfn.NORM.S.INV(RAND()))</f>
        <v/>
      </c>
    </row>
    <row r="874">
      <c r="F874">
        <f>F873+1</f>
        <v/>
      </c>
      <c r="G874" s="92">
        <f>EXP($C$12+$C$8*_xlfn.NORM.S.INV(RAND()))</f>
        <v/>
      </c>
    </row>
    <row r="875">
      <c r="F875">
        <f>F874+1</f>
        <v/>
      </c>
      <c r="G875" s="92">
        <f>EXP($C$12+$C$8*_xlfn.NORM.S.INV(RAND()))</f>
        <v/>
      </c>
    </row>
    <row r="876">
      <c r="F876">
        <f>F875+1</f>
        <v/>
      </c>
      <c r="G876" s="92">
        <f>EXP($C$12+$C$8*_xlfn.NORM.S.INV(RAND()))</f>
        <v/>
      </c>
    </row>
    <row r="877">
      <c r="F877">
        <f>F876+1</f>
        <v/>
      </c>
      <c r="G877" s="92">
        <f>EXP($C$12+$C$8*_xlfn.NORM.S.INV(RAND()))</f>
        <v/>
      </c>
    </row>
    <row r="878">
      <c r="F878">
        <f>F877+1</f>
        <v/>
      </c>
      <c r="G878" s="92">
        <f>EXP($C$12+$C$8*_xlfn.NORM.S.INV(RAND()))</f>
        <v/>
      </c>
    </row>
    <row r="879">
      <c r="F879">
        <f>F878+1</f>
        <v/>
      </c>
      <c r="G879" s="92">
        <f>EXP($C$12+$C$8*_xlfn.NORM.S.INV(RAND()))</f>
        <v/>
      </c>
    </row>
    <row r="880">
      <c r="F880">
        <f>F879+1</f>
        <v/>
      </c>
      <c r="G880" s="92">
        <f>EXP($C$12+$C$8*_xlfn.NORM.S.INV(RAND()))</f>
        <v/>
      </c>
    </row>
    <row r="881">
      <c r="F881">
        <f>F880+1</f>
        <v/>
      </c>
      <c r="G881" s="92">
        <f>EXP($C$12+$C$8*_xlfn.NORM.S.INV(RAND()))</f>
        <v/>
      </c>
    </row>
    <row r="882">
      <c r="F882">
        <f>F881+1</f>
        <v/>
      </c>
      <c r="G882" s="92">
        <f>EXP($C$12+$C$8*_xlfn.NORM.S.INV(RAND()))</f>
        <v/>
      </c>
    </row>
    <row r="883">
      <c r="F883">
        <f>F882+1</f>
        <v/>
      </c>
      <c r="G883" s="92">
        <f>EXP($C$12+$C$8*_xlfn.NORM.S.INV(RAND()))</f>
        <v/>
      </c>
    </row>
    <row r="884">
      <c r="F884">
        <f>F883+1</f>
        <v/>
      </c>
      <c r="G884" s="92">
        <f>EXP($C$12+$C$8*_xlfn.NORM.S.INV(RAND()))</f>
        <v/>
      </c>
    </row>
    <row r="885">
      <c r="F885">
        <f>F884+1</f>
        <v/>
      </c>
      <c r="G885" s="92">
        <f>EXP($C$12+$C$8*_xlfn.NORM.S.INV(RAND()))</f>
        <v/>
      </c>
    </row>
    <row r="886">
      <c r="F886">
        <f>F885+1</f>
        <v/>
      </c>
      <c r="G886" s="92">
        <f>EXP($C$12+$C$8*_xlfn.NORM.S.INV(RAND()))</f>
        <v/>
      </c>
    </row>
    <row r="887">
      <c r="F887">
        <f>F886+1</f>
        <v/>
      </c>
      <c r="G887" s="92">
        <f>EXP($C$12+$C$8*_xlfn.NORM.S.INV(RAND()))</f>
        <v/>
      </c>
    </row>
    <row r="888">
      <c r="F888">
        <f>F887+1</f>
        <v/>
      </c>
      <c r="G888" s="92">
        <f>EXP($C$12+$C$8*_xlfn.NORM.S.INV(RAND()))</f>
        <v/>
      </c>
    </row>
    <row r="889">
      <c r="F889">
        <f>F888+1</f>
        <v/>
      </c>
      <c r="G889" s="92">
        <f>EXP($C$12+$C$8*_xlfn.NORM.S.INV(RAND()))</f>
        <v/>
      </c>
    </row>
    <row r="890">
      <c r="F890">
        <f>F889+1</f>
        <v/>
      </c>
      <c r="G890" s="92">
        <f>EXP($C$12+$C$8*_xlfn.NORM.S.INV(RAND()))</f>
        <v/>
      </c>
    </row>
    <row r="891">
      <c r="F891">
        <f>F890+1</f>
        <v/>
      </c>
      <c r="G891" s="92">
        <f>EXP($C$12+$C$8*_xlfn.NORM.S.INV(RAND()))</f>
        <v/>
      </c>
    </row>
    <row r="892">
      <c r="F892">
        <f>F891+1</f>
        <v/>
      </c>
      <c r="G892" s="92">
        <f>EXP($C$12+$C$8*_xlfn.NORM.S.INV(RAND()))</f>
        <v/>
      </c>
    </row>
    <row r="893">
      <c r="F893">
        <f>F892+1</f>
        <v/>
      </c>
      <c r="G893" s="92">
        <f>EXP($C$12+$C$8*_xlfn.NORM.S.INV(RAND()))</f>
        <v/>
      </c>
    </row>
    <row r="894">
      <c r="F894">
        <f>F893+1</f>
        <v/>
      </c>
      <c r="G894" s="92">
        <f>EXP($C$12+$C$8*_xlfn.NORM.S.INV(RAND()))</f>
        <v/>
      </c>
    </row>
    <row r="895">
      <c r="F895">
        <f>F894+1</f>
        <v/>
      </c>
      <c r="G895" s="92">
        <f>EXP($C$12+$C$8*_xlfn.NORM.S.INV(RAND()))</f>
        <v/>
      </c>
    </row>
    <row r="896">
      <c r="F896">
        <f>F895+1</f>
        <v/>
      </c>
      <c r="G896" s="92">
        <f>EXP($C$12+$C$8*_xlfn.NORM.S.INV(RAND()))</f>
        <v/>
      </c>
    </row>
    <row r="897">
      <c r="F897">
        <f>F896+1</f>
        <v/>
      </c>
      <c r="G897" s="92">
        <f>EXP($C$12+$C$8*_xlfn.NORM.S.INV(RAND()))</f>
        <v/>
      </c>
    </row>
    <row r="898">
      <c r="F898">
        <f>F897+1</f>
        <v/>
      </c>
      <c r="G898" s="92">
        <f>EXP($C$12+$C$8*_xlfn.NORM.S.INV(RAND()))</f>
        <v/>
      </c>
    </row>
    <row r="899">
      <c r="F899">
        <f>F898+1</f>
        <v/>
      </c>
      <c r="G899" s="92">
        <f>EXP($C$12+$C$8*_xlfn.NORM.S.INV(RAND()))</f>
        <v/>
      </c>
    </row>
    <row r="900">
      <c r="F900">
        <f>F899+1</f>
        <v/>
      </c>
      <c r="G900" s="92">
        <f>EXP($C$12+$C$8*_xlfn.NORM.S.INV(RAND()))</f>
        <v/>
      </c>
    </row>
    <row r="901">
      <c r="F901">
        <f>F900+1</f>
        <v/>
      </c>
      <c r="G901" s="92">
        <f>EXP($C$12+$C$8*_xlfn.NORM.S.INV(RAND()))</f>
        <v/>
      </c>
    </row>
    <row r="902">
      <c r="F902">
        <f>F901+1</f>
        <v/>
      </c>
      <c r="G902" s="92">
        <f>EXP($C$12+$C$8*_xlfn.NORM.S.INV(RAND()))</f>
        <v/>
      </c>
    </row>
    <row r="903">
      <c r="F903">
        <f>F902+1</f>
        <v/>
      </c>
      <c r="G903" s="92">
        <f>EXP($C$12+$C$8*_xlfn.NORM.S.INV(RAND()))</f>
        <v/>
      </c>
    </row>
    <row r="904">
      <c r="F904">
        <f>F903+1</f>
        <v/>
      </c>
      <c r="G904" s="92">
        <f>EXP($C$12+$C$8*_xlfn.NORM.S.INV(RAND()))</f>
        <v/>
      </c>
    </row>
    <row r="905">
      <c r="F905">
        <f>F904+1</f>
        <v/>
      </c>
      <c r="G905" s="92">
        <f>EXP($C$12+$C$8*_xlfn.NORM.S.INV(RAND()))</f>
        <v/>
      </c>
    </row>
    <row r="906">
      <c r="F906">
        <f>F905+1</f>
        <v/>
      </c>
      <c r="G906" s="92">
        <f>EXP($C$12+$C$8*_xlfn.NORM.S.INV(RAND()))</f>
        <v/>
      </c>
    </row>
    <row r="907">
      <c r="F907">
        <f>F906+1</f>
        <v/>
      </c>
      <c r="G907" s="92">
        <f>EXP($C$12+$C$8*_xlfn.NORM.S.INV(RAND()))</f>
        <v/>
      </c>
    </row>
    <row r="908">
      <c r="F908">
        <f>F907+1</f>
        <v/>
      </c>
      <c r="G908" s="92">
        <f>EXP($C$12+$C$8*_xlfn.NORM.S.INV(RAND()))</f>
        <v/>
      </c>
    </row>
    <row r="909">
      <c r="F909">
        <f>F908+1</f>
        <v/>
      </c>
      <c r="G909" s="92">
        <f>EXP($C$12+$C$8*_xlfn.NORM.S.INV(RAND()))</f>
        <v/>
      </c>
    </row>
    <row r="910">
      <c r="F910">
        <f>F909+1</f>
        <v/>
      </c>
      <c r="G910" s="92">
        <f>EXP($C$12+$C$8*_xlfn.NORM.S.INV(RAND()))</f>
        <v/>
      </c>
    </row>
    <row r="911">
      <c r="F911">
        <f>F910+1</f>
        <v/>
      </c>
      <c r="G911" s="92">
        <f>EXP($C$12+$C$8*_xlfn.NORM.S.INV(RAND()))</f>
        <v/>
      </c>
    </row>
    <row r="912">
      <c r="F912">
        <f>F911+1</f>
        <v/>
      </c>
      <c r="G912" s="92">
        <f>EXP($C$12+$C$8*_xlfn.NORM.S.INV(RAND()))</f>
        <v/>
      </c>
    </row>
    <row r="913">
      <c r="F913">
        <f>F912+1</f>
        <v/>
      </c>
      <c r="G913" s="92">
        <f>EXP($C$12+$C$8*_xlfn.NORM.S.INV(RAND()))</f>
        <v/>
      </c>
    </row>
    <row r="914">
      <c r="F914">
        <f>F913+1</f>
        <v/>
      </c>
      <c r="G914" s="92">
        <f>EXP($C$12+$C$8*_xlfn.NORM.S.INV(RAND()))</f>
        <v/>
      </c>
    </row>
    <row r="915">
      <c r="F915">
        <f>F914+1</f>
        <v/>
      </c>
      <c r="G915" s="92">
        <f>EXP($C$12+$C$8*_xlfn.NORM.S.INV(RAND()))</f>
        <v/>
      </c>
    </row>
    <row r="916">
      <c r="F916">
        <f>F915+1</f>
        <v/>
      </c>
      <c r="G916" s="92">
        <f>EXP($C$12+$C$8*_xlfn.NORM.S.INV(RAND()))</f>
        <v/>
      </c>
    </row>
    <row r="917">
      <c r="F917">
        <f>F916+1</f>
        <v/>
      </c>
      <c r="G917" s="92">
        <f>EXP($C$12+$C$8*_xlfn.NORM.S.INV(RAND()))</f>
        <v/>
      </c>
    </row>
    <row r="918">
      <c r="F918">
        <f>F917+1</f>
        <v/>
      </c>
      <c r="G918" s="92">
        <f>EXP($C$12+$C$8*_xlfn.NORM.S.INV(RAND()))</f>
        <v/>
      </c>
    </row>
    <row r="919">
      <c r="F919">
        <f>F918+1</f>
        <v/>
      </c>
      <c r="G919" s="92">
        <f>EXP($C$12+$C$8*_xlfn.NORM.S.INV(RAND()))</f>
        <v/>
      </c>
    </row>
    <row r="920">
      <c r="F920">
        <f>F919+1</f>
        <v/>
      </c>
      <c r="G920" s="92">
        <f>EXP($C$12+$C$8*_xlfn.NORM.S.INV(RAND()))</f>
        <v/>
      </c>
    </row>
    <row r="921">
      <c r="F921">
        <f>F920+1</f>
        <v/>
      </c>
      <c r="G921" s="92">
        <f>EXP($C$12+$C$8*_xlfn.NORM.S.INV(RAND()))</f>
        <v/>
      </c>
    </row>
    <row r="922">
      <c r="F922">
        <f>F921+1</f>
        <v/>
      </c>
      <c r="G922" s="92">
        <f>EXP($C$12+$C$8*_xlfn.NORM.S.INV(RAND()))</f>
        <v/>
      </c>
    </row>
    <row r="923">
      <c r="F923">
        <f>F922+1</f>
        <v/>
      </c>
      <c r="G923" s="92">
        <f>EXP($C$12+$C$8*_xlfn.NORM.S.INV(RAND()))</f>
        <v/>
      </c>
    </row>
    <row r="924">
      <c r="F924">
        <f>F923+1</f>
        <v/>
      </c>
      <c r="G924" s="92">
        <f>EXP($C$12+$C$8*_xlfn.NORM.S.INV(RAND()))</f>
        <v/>
      </c>
    </row>
    <row r="925">
      <c r="F925">
        <f>F924+1</f>
        <v/>
      </c>
      <c r="G925" s="92">
        <f>EXP($C$12+$C$8*_xlfn.NORM.S.INV(RAND()))</f>
        <v/>
      </c>
    </row>
    <row r="926">
      <c r="F926">
        <f>F925+1</f>
        <v/>
      </c>
      <c r="G926" s="92">
        <f>EXP($C$12+$C$8*_xlfn.NORM.S.INV(RAND()))</f>
        <v/>
      </c>
    </row>
    <row r="927">
      <c r="F927">
        <f>F926+1</f>
        <v/>
      </c>
      <c r="G927" s="92">
        <f>EXP($C$12+$C$8*_xlfn.NORM.S.INV(RAND()))</f>
        <v/>
      </c>
    </row>
    <row r="928">
      <c r="F928">
        <f>F927+1</f>
        <v/>
      </c>
      <c r="G928" s="92">
        <f>EXP($C$12+$C$8*_xlfn.NORM.S.INV(RAND()))</f>
        <v/>
      </c>
    </row>
    <row r="929">
      <c r="F929">
        <f>F928+1</f>
        <v/>
      </c>
      <c r="G929" s="92">
        <f>EXP($C$12+$C$8*_xlfn.NORM.S.INV(RAND()))</f>
        <v/>
      </c>
    </row>
    <row r="930">
      <c r="F930">
        <f>F929+1</f>
        <v/>
      </c>
      <c r="G930" s="92">
        <f>EXP($C$12+$C$8*_xlfn.NORM.S.INV(RAND()))</f>
        <v/>
      </c>
    </row>
    <row r="931">
      <c r="F931">
        <f>F930+1</f>
        <v/>
      </c>
      <c r="G931" s="92">
        <f>EXP($C$12+$C$8*_xlfn.NORM.S.INV(RAND()))</f>
        <v/>
      </c>
    </row>
    <row r="932">
      <c r="F932">
        <f>F931+1</f>
        <v/>
      </c>
      <c r="G932" s="92">
        <f>EXP($C$12+$C$8*_xlfn.NORM.S.INV(RAND()))</f>
        <v/>
      </c>
    </row>
    <row r="933">
      <c r="F933">
        <f>F932+1</f>
        <v/>
      </c>
      <c r="G933" s="92">
        <f>EXP($C$12+$C$8*_xlfn.NORM.S.INV(RAND()))</f>
        <v/>
      </c>
    </row>
    <row r="934">
      <c r="F934">
        <f>F933+1</f>
        <v/>
      </c>
      <c r="G934" s="92">
        <f>EXP($C$12+$C$8*_xlfn.NORM.S.INV(RAND()))</f>
        <v/>
      </c>
    </row>
    <row r="935">
      <c r="F935">
        <f>F934+1</f>
        <v/>
      </c>
      <c r="G935" s="92">
        <f>EXP($C$12+$C$8*_xlfn.NORM.S.INV(RAND()))</f>
        <v/>
      </c>
    </row>
    <row r="936">
      <c r="F936">
        <f>F935+1</f>
        <v/>
      </c>
      <c r="G936" s="92">
        <f>EXP($C$12+$C$8*_xlfn.NORM.S.INV(RAND()))</f>
        <v/>
      </c>
    </row>
    <row r="937">
      <c r="F937">
        <f>F936+1</f>
        <v/>
      </c>
      <c r="G937" s="92">
        <f>EXP($C$12+$C$8*_xlfn.NORM.S.INV(RAND()))</f>
        <v/>
      </c>
    </row>
    <row r="938">
      <c r="F938">
        <f>F937+1</f>
        <v/>
      </c>
      <c r="G938" s="92">
        <f>EXP($C$12+$C$8*_xlfn.NORM.S.INV(RAND()))</f>
        <v/>
      </c>
    </row>
    <row r="939">
      <c r="F939">
        <f>F938+1</f>
        <v/>
      </c>
      <c r="G939" s="92">
        <f>EXP($C$12+$C$8*_xlfn.NORM.S.INV(RAND()))</f>
        <v/>
      </c>
    </row>
    <row r="940">
      <c r="F940">
        <f>F939+1</f>
        <v/>
      </c>
      <c r="G940" s="92">
        <f>EXP($C$12+$C$8*_xlfn.NORM.S.INV(RAND()))</f>
        <v/>
      </c>
    </row>
    <row r="941">
      <c r="F941">
        <f>F940+1</f>
        <v/>
      </c>
      <c r="G941" s="92">
        <f>EXP($C$12+$C$8*_xlfn.NORM.S.INV(RAND()))</f>
        <v/>
      </c>
    </row>
    <row r="942">
      <c r="F942">
        <f>F941+1</f>
        <v/>
      </c>
      <c r="G942" s="92">
        <f>EXP($C$12+$C$8*_xlfn.NORM.S.INV(RAND()))</f>
        <v/>
      </c>
    </row>
    <row r="943">
      <c r="F943">
        <f>F942+1</f>
        <v/>
      </c>
      <c r="G943" s="92">
        <f>EXP($C$12+$C$8*_xlfn.NORM.S.INV(RAND()))</f>
        <v/>
      </c>
    </row>
    <row r="944">
      <c r="F944">
        <f>F943+1</f>
        <v/>
      </c>
      <c r="G944" s="92">
        <f>EXP($C$12+$C$8*_xlfn.NORM.S.INV(RAND()))</f>
        <v/>
      </c>
    </row>
    <row r="945">
      <c r="F945">
        <f>F944+1</f>
        <v/>
      </c>
      <c r="G945" s="92">
        <f>EXP($C$12+$C$8*_xlfn.NORM.S.INV(RAND()))</f>
        <v/>
      </c>
    </row>
    <row r="946">
      <c r="F946">
        <f>F945+1</f>
        <v/>
      </c>
      <c r="G946" s="92">
        <f>EXP($C$12+$C$8*_xlfn.NORM.S.INV(RAND()))</f>
        <v/>
      </c>
    </row>
    <row r="947">
      <c r="F947">
        <f>F946+1</f>
        <v/>
      </c>
      <c r="G947" s="92">
        <f>EXP($C$12+$C$8*_xlfn.NORM.S.INV(RAND()))</f>
        <v/>
      </c>
    </row>
    <row r="948">
      <c r="F948">
        <f>F947+1</f>
        <v/>
      </c>
      <c r="G948" s="92">
        <f>EXP($C$12+$C$8*_xlfn.NORM.S.INV(RAND()))</f>
        <v/>
      </c>
    </row>
    <row r="949">
      <c r="F949">
        <f>F948+1</f>
        <v/>
      </c>
      <c r="G949" s="92">
        <f>EXP($C$12+$C$8*_xlfn.NORM.S.INV(RAND()))</f>
        <v/>
      </c>
    </row>
    <row r="950">
      <c r="F950">
        <f>F949+1</f>
        <v/>
      </c>
      <c r="G950" s="92">
        <f>EXP($C$12+$C$8*_xlfn.NORM.S.INV(RAND()))</f>
        <v/>
      </c>
    </row>
    <row r="951">
      <c r="F951">
        <f>F950+1</f>
        <v/>
      </c>
      <c r="G951" s="92">
        <f>EXP($C$12+$C$8*_xlfn.NORM.S.INV(RAND()))</f>
        <v/>
      </c>
    </row>
    <row r="952">
      <c r="F952">
        <f>F951+1</f>
        <v/>
      </c>
      <c r="G952" s="92">
        <f>EXP($C$12+$C$8*_xlfn.NORM.S.INV(RAND()))</f>
        <v/>
      </c>
    </row>
    <row r="953">
      <c r="F953">
        <f>F952+1</f>
        <v/>
      </c>
      <c r="G953" s="92">
        <f>EXP($C$12+$C$8*_xlfn.NORM.S.INV(RAND()))</f>
        <v/>
      </c>
    </row>
    <row r="954">
      <c r="F954">
        <f>F953+1</f>
        <v/>
      </c>
      <c r="G954" s="92">
        <f>EXP($C$12+$C$8*_xlfn.NORM.S.INV(RAND()))</f>
        <v/>
      </c>
    </row>
    <row r="955">
      <c r="F955">
        <f>F954+1</f>
        <v/>
      </c>
      <c r="G955" s="92">
        <f>EXP($C$12+$C$8*_xlfn.NORM.S.INV(RAND()))</f>
        <v/>
      </c>
    </row>
    <row r="956">
      <c r="F956">
        <f>F955+1</f>
        <v/>
      </c>
      <c r="G956" s="92">
        <f>EXP($C$12+$C$8*_xlfn.NORM.S.INV(RAND()))</f>
        <v/>
      </c>
    </row>
    <row r="957">
      <c r="F957">
        <f>F956+1</f>
        <v/>
      </c>
      <c r="G957" s="92">
        <f>EXP($C$12+$C$8*_xlfn.NORM.S.INV(RAND()))</f>
        <v/>
      </c>
    </row>
    <row r="958">
      <c r="F958">
        <f>F957+1</f>
        <v/>
      </c>
      <c r="G958" s="92">
        <f>EXP($C$12+$C$8*_xlfn.NORM.S.INV(RAND()))</f>
        <v/>
      </c>
    </row>
    <row r="959">
      <c r="F959">
        <f>F958+1</f>
        <v/>
      </c>
      <c r="G959" s="92">
        <f>EXP($C$12+$C$8*_xlfn.NORM.S.INV(RAND()))</f>
        <v/>
      </c>
    </row>
    <row r="960">
      <c r="F960">
        <f>F959+1</f>
        <v/>
      </c>
      <c r="G960" s="92">
        <f>EXP($C$12+$C$8*_xlfn.NORM.S.INV(RAND()))</f>
        <v/>
      </c>
    </row>
    <row r="961">
      <c r="F961">
        <f>F960+1</f>
        <v/>
      </c>
      <c r="G961" s="92">
        <f>EXP($C$12+$C$8*_xlfn.NORM.S.INV(RAND()))</f>
        <v/>
      </c>
    </row>
    <row r="962">
      <c r="F962">
        <f>F961+1</f>
        <v/>
      </c>
      <c r="G962" s="92">
        <f>EXP($C$12+$C$8*_xlfn.NORM.S.INV(RAND()))</f>
        <v/>
      </c>
    </row>
    <row r="963">
      <c r="F963">
        <f>F962+1</f>
        <v/>
      </c>
      <c r="G963" s="92">
        <f>EXP($C$12+$C$8*_xlfn.NORM.S.INV(RAND()))</f>
        <v/>
      </c>
    </row>
    <row r="964">
      <c r="F964">
        <f>F963+1</f>
        <v/>
      </c>
      <c r="G964" s="92">
        <f>EXP($C$12+$C$8*_xlfn.NORM.S.INV(RAND()))</f>
        <v/>
      </c>
    </row>
    <row r="965">
      <c r="F965">
        <f>F964+1</f>
        <v/>
      </c>
      <c r="G965" s="92">
        <f>EXP($C$12+$C$8*_xlfn.NORM.S.INV(RAND()))</f>
        <v/>
      </c>
    </row>
    <row r="966">
      <c r="F966">
        <f>F965+1</f>
        <v/>
      </c>
      <c r="G966" s="92">
        <f>EXP($C$12+$C$8*_xlfn.NORM.S.INV(RAND()))</f>
        <v/>
      </c>
    </row>
    <row r="967">
      <c r="F967">
        <f>F966+1</f>
        <v/>
      </c>
      <c r="G967" s="92">
        <f>EXP($C$12+$C$8*_xlfn.NORM.S.INV(RAND()))</f>
        <v/>
      </c>
    </row>
    <row r="968">
      <c r="F968">
        <f>F967+1</f>
        <v/>
      </c>
      <c r="G968" s="92">
        <f>EXP($C$12+$C$8*_xlfn.NORM.S.INV(RAND()))</f>
        <v/>
      </c>
    </row>
    <row r="969">
      <c r="F969">
        <f>F968+1</f>
        <v/>
      </c>
      <c r="G969" s="92">
        <f>EXP($C$12+$C$8*_xlfn.NORM.S.INV(RAND()))</f>
        <v/>
      </c>
    </row>
    <row r="970">
      <c r="F970">
        <f>F969+1</f>
        <v/>
      </c>
      <c r="G970" s="92">
        <f>EXP($C$12+$C$8*_xlfn.NORM.S.INV(RAND()))</f>
        <v/>
      </c>
    </row>
    <row r="971">
      <c r="F971">
        <f>F970+1</f>
        <v/>
      </c>
      <c r="G971" s="92">
        <f>EXP($C$12+$C$8*_xlfn.NORM.S.INV(RAND()))</f>
        <v/>
      </c>
    </row>
    <row r="972">
      <c r="F972">
        <f>F971+1</f>
        <v/>
      </c>
      <c r="G972" s="92">
        <f>EXP($C$12+$C$8*_xlfn.NORM.S.INV(RAND()))</f>
        <v/>
      </c>
    </row>
    <row r="973">
      <c r="F973">
        <f>F972+1</f>
        <v/>
      </c>
      <c r="G973" s="92">
        <f>EXP($C$12+$C$8*_xlfn.NORM.S.INV(RAND()))</f>
        <v/>
      </c>
    </row>
    <row r="974">
      <c r="F974">
        <f>F973+1</f>
        <v/>
      </c>
      <c r="G974" s="92">
        <f>EXP($C$12+$C$8*_xlfn.NORM.S.INV(RAND()))</f>
        <v/>
      </c>
    </row>
    <row r="975">
      <c r="F975">
        <f>F974+1</f>
        <v/>
      </c>
      <c r="G975" s="92">
        <f>EXP($C$12+$C$8*_xlfn.NORM.S.INV(RAND()))</f>
        <v/>
      </c>
    </row>
    <row r="976">
      <c r="F976">
        <f>F975+1</f>
        <v/>
      </c>
      <c r="G976" s="92">
        <f>EXP($C$12+$C$8*_xlfn.NORM.S.INV(RAND()))</f>
        <v/>
      </c>
    </row>
    <row r="977">
      <c r="F977">
        <f>F976+1</f>
        <v/>
      </c>
      <c r="G977" s="92">
        <f>EXP($C$12+$C$8*_xlfn.NORM.S.INV(RAND()))</f>
        <v/>
      </c>
    </row>
    <row r="978">
      <c r="F978">
        <f>F977+1</f>
        <v/>
      </c>
      <c r="G978" s="92">
        <f>EXP($C$12+$C$8*_xlfn.NORM.S.INV(RAND()))</f>
        <v/>
      </c>
    </row>
    <row r="979">
      <c r="F979">
        <f>F978+1</f>
        <v/>
      </c>
      <c r="G979" s="92">
        <f>EXP($C$12+$C$8*_xlfn.NORM.S.INV(RAND()))</f>
        <v/>
      </c>
    </row>
    <row r="980">
      <c r="F980">
        <f>F979+1</f>
        <v/>
      </c>
      <c r="G980" s="92">
        <f>EXP($C$12+$C$8*_xlfn.NORM.S.INV(RAND()))</f>
        <v/>
      </c>
    </row>
    <row r="981">
      <c r="F981">
        <f>F980+1</f>
        <v/>
      </c>
      <c r="G981" s="92">
        <f>EXP($C$12+$C$8*_xlfn.NORM.S.INV(RAND()))</f>
        <v/>
      </c>
    </row>
    <row r="982">
      <c r="F982">
        <f>F981+1</f>
        <v/>
      </c>
      <c r="G982" s="92">
        <f>EXP($C$12+$C$8*_xlfn.NORM.S.INV(RAND()))</f>
        <v/>
      </c>
    </row>
    <row r="983">
      <c r="F983">
        <f>F982+1</f>
        <v/>
      </c>
      <c r="G983" s="92">
        <f>EXP($C$12+$C$8*_xlfn.NORM.S.INV(RAND()))</f>
        <v/>
      </c>
    </row>
    <row r="984">
      <c r="F984">
        <f>F983+1</f>
        <v/>
      </c>
      <c r="G984" s="92">
        <f>EXP($C$12+$C$8*_xlfn.NORM.S.INV(RAND()))</f>
        <v/>
      </c>
    </row>
    <row r="985">
      <c r="F985">
        <f>F984+1</f>
        <v/>
      </c>
      <c r="G985" s="92">
        <f>EXP($C$12+$C$8*_xlfn.NORM.S.INV(RAND()))</f>
        <v/>
      </c>
    </row>
    <row r="986">
      <c r="F986">
        <f>F985+1</f>
        <v/>
      </c>
      <c r="G986" s="92">
        <f>EXP($C$12+$C$8*_xlfn.NORM.S.INV(RAND()))</f>
        <v/>
      </c>
    </row>
    <row r="987">
      <c r="F987">
        <f>F986+1</f>
        <v/>
      </c>
      <c r="G987" s="92">
        <f>EXP($C$12+$C$8*_xlfn.NORM.S.INV(RAND()))</f>
        <v/>
      </c>
    </row>
    <row r="988">
      <c r="F988">
        <f>F987+1</f>
        <v/>
      </c>
      <c r="G988" s="92">
        <f>EXP($C$12+$C$8*_xlfn.NORM.S.INV(RAND()))</f>
        <v/>
      </c>
    </row>
    <row r="989">
      <c r="F989">
        <f>F988+1</f>
        <v/>
      </c>
      <c r="G989" s="92">
        <f>EXP($C$12+$C$8*_xlfn.NORM.S.INV(RAND()))</f>
        <v/>
      </c>
    </row>
    <row r="990">
      <c r="F990">
        <f>F989+1</f>
        <v/>
      </c>
      <c r="G990" s="92">
        <f>EXP($C$12+$C$8*_xlfn.NORM.S.INV(RAND()))</f>
        <v/>
      </c>
    </row>
    <row r="991">
      <c r="F991">
        <f>F990+1</f>
        <v/>
      </c>
      <c r="G991" s="92">
        <f>EXP($C$12+$C$8*_xlfn.NORM.S.INV(RAND()))</f>
        <v/>
      </c>
    </row>
    <row r="992">
      <c r="F992">
        <f>F991+1</f>
        <v/>
      </c>
      <c r="G992" s="92">
        <f>EXP($C$12+$C$8*_xlfn.NORM.S.INV(RAND()))</f>
        <v/>
      </c>
    </row>
    <row r="993">
      <c r="F993">
        <f>F992+1</f>
        <v/>
      </c>
      <c r="G993" s="92">
        <f>EXP($C$12+$C$8*_xlfn.NORM.S.INV(RAND()))</f>
        <v/>
      </c>
    </row>
    <row r="994">
      <c r="F994">
        <f>F993+1</f>
        <v/>
      </c>
      <c r="G994" s="92">
        <f>EXP($C$12+$C$8*_xlfn.NORM.S.INV(RAND()))</f>
        <v/>
      </c>
    </row>
    <row r="995">
      <c r="F995">
        <f>F994+1</f>
        <v/>
      </c>
      <c r="G995" s="92">
        <f>EXP($C$12+$C$8*_xlfn.NORM.S.INV(RAND()))</f>
        <v/>
      </c>
    </row>
    <row r="996">
      <c r="F996">
        <f>F995+1</f>
        <v/>
      </c>
      <c r="G996" s="92">
        <f>EXP($C$12+$C$8*_xlfn.NORM.S.INV(RAND()))</f>
        <v/>
      </c>
    </row>
    <row r="997">
      <c r="F997">
        <f>F996+1</f>
        <v/>
      </c>
      <c r="G997" s="92">
        <f>EXP($C$12+$C$8*_xlfn.NORM.S.INV(RAND()))</f>
        <v/>
      </c>
    </row>
    <row r="998">
      <c r="F998">
        <f>F997+1</f>
        <v/>
      </c>
      <c r="G998" s="92">
        <f>EXP($C$12+$C$8*_xlfn.NORM.S.INV(RAND()))</f>
        <v/>
      </c>
    </row>
    <row r="999">
      <c r="F999">
        <f>F998+1</f>
        <v/>
      </c>
      <c r="G999" s="92">
        <f>EXP($C$12+$C$8*_xlfn.NORM.S.INV(RAND()))</f>
        <v/>
      </c>
    </row>
    <row r="1000">
      <c r="F1000">
        <f>F999+1</f>
        <v/>
      </c>
      <c r="G1000" s="92">
        <f>EXP($C$12+$C$8*_xlfn.NORM.S.INV(RAND()))</f>
        <v/>
      </c>
    </row>
    <row r="1001">
      <c r="F1001">
        <f>F1000+1</f>
        <v/>
      </c>
      <c r="G1001" s="92">
        <f>EXP($C$12+$C$8*_xlfn.NORM.S.INV(RAND()))</f>
        <v/>
      </c>
    </row>
    <row r="1002">
      <c r="F1002">
        <f>F1001+1</f>
        <v/>
      </c>
      <c r="G1002" s="92">
        <f>EXP($C$12+$C$8*_xlfn.NORM.S.INV(RAND()))</f>
        <v/>
      </c>
    </row>
    <row r="1003">
      <c r="F1003">
        <f>F1002+1</f>
        <v/>
      </c>
      <c r="G1003" s="92">
        <f>EXP($C$12+$C$8*_xlfn.NORM.S.INV(RAND()))</f>
        <v/>
      </c>
    </row>
    <row r="1004">
      <c r="F1004">
        <f>F1003+1</f>
        <v/>
      </c>
      <c r="G1004" s="92">
        <f>EXP($C$12+$C$8*_xlfn.NORM.S.INV(RAND()))</f>
        <v/>
      </c>
    </row>
    <row r="1005">
      <c r="F1005">
        <f>F1004+1</f>
        <v/>
      </c>
      <c r="G1005" s="92">
        <f>EXP($C$12+$C$8*_xlfn.NORM.S.INV(RAND()))</f>
        <v/>
      </c>
    </row>
    <row r="1006">
      <c r="F1006">
        <f>F1005+1</f>
        <v/>
      </c>
      <c r="G1006" s="92">
        <f>EXP($C$12+$C$8*_xlfn.NORM.S.INV(RAND()))</f>
        <v/>
      </c>
    </row>
    <row r="1007">
      <c r="F1007">
        <f>F1006+1</f>
        <v/>
      </c>
      <c r="G1007" s="92">
        <f>EXP($C$12+$C$8*_xlfn.NORM.S.INV(RAND()))</f>
        <v/>
      </c>
    </row>
    <row r="1008">
      <c r="F1008">
        <f>F1007+1</f>
        <v/>
      </c>
      <c r="G1008" s="92">
        <f>EXP($C$12+$C$8*_xlfn.NORM.S.INV(RAND()))</f>
        <v/>
      </c>
    </row>
    <row r="1009">
      <c r="F1009">
        <f>F1008+1</f>
        <v/>
      </c>
      <c r="G1009" s="92">
        <f>EXP($C$12+$C$8*_xlfn.NORM.S.INV(RAND()))</f>
        <v/>
      </c>
    </row>
    <row r="1010">
      <c r="F1010">
        <f>F1009+1</f>
        <v/>
      </c>
      <c r="G1010" s="92">
        <f>EXP($C$12+$C$8*_xlfn.NORM.S.INV(RAND()))</f>
        <v/>
      </c>
    </row>
    <row r="1011">
      <c r="F1011">
        <f>F1010+1</f>
        <v/>
      </c>
      <c r="G1011" s="92">
        <f>EXP($C$12+$C$8*_xlfn.NORM.S.INV(RAND()))</f>
        <v/>
      </c>
    </row>
    <row r="1012">
      <c r="F1012">
        <f>F1011+1</f>
        <v/>
      </c>
      <c r="G1012" s="92">
        <f>EXP($C$12+$C$8*_xlfn.NORM.S.INV(RAND()))</f>
        <v/>
      </c>
    </row>
    <row r="1013">
      <c r="F1013">
        <f>F1012+1</f>
        <v/>
      </c>
      <c r="G1013" s="92">
        <f>EXP($C$12+$C$8*_xlfn.NORM.S.INV(RAND()))</f>
        <v/>
      </c>
    </row>
    <row r="1014">
      <c r="F1014">
        <f>F1013+1</f>
        <v/>
      </c>
      <c r="G1014" s="92">
        <f>EXP($C$12+$C$8*_xlfn.NORM.S.INV(RAND()))</f>
        <v/>
      </c>
    </row>
    <row r="1015">
      <c r="F1015">
        <f>F1014+1</f>
        <v/>
      </c>
      <c r="G1015" s="92">
        <f>EXP($C$12+$C$8*_xlfn.NORM.S.INV(RAND()))</f>
        <v/>
      </c>
    </row>
    <row r="1016">
      <c r="F1016">
        <f>F1015+1</f>
        <v/>
      </c>
      <c r="G1016" s="92">
        <f>EXP($C$12+$C$8*_xlfn.NORM.S.INV(RAND()))</f>
        <v/>
      </c>
    </row>
    <row r="1017">
      <c r="F1017">
        <f>F1016+1</f>
        <v/>
      </c>
      <c r="G1017" s="92">
        <f>EXP($C$12+$C$8*_xlfn.NORM.S.INV(RAND()))</f>
        <v/>
      </c>
    </row>
    <row r="1018">
      <c r="F1018">
        <f>F1017+1</f>
        <v/>
      </c>
      <c r="G1018" s="92">
        <f>EXP($C$12+$C$8*_xlfn.NORM.S.INV(RAND()))</f>
        <v/>
      </c>
    </row>
    <row r="1019">
      <c r="F1019">
        <f>F1018+1</f>
        <v/>
      </c>
      <c r="G1019" s="92">
        <f>EXP($C$12+$C$8*_xlfn.NORM.S.INV(RAND()))</f>
        <v/>
      </c>
    </row>
    <row r="1020">
      <c r="F1020">
        <f>F1019+1</f>
        <v/>
      </c>
      <c r="G1020" s="92">
        <f>EXP($C$12+$C$8*_xlfn.NORM.S.INV(RAND()))</f>
        <v/>
      </c>
    </row>
    <row r="1021">
      <c r="F1021">
        <f>F1020+1</f>
        <v/>
      </c>
      <c r="G1021" s="92">
        <f>EXP($C$12+$C$8*_xlfn.NORM.S.INV(RAND()))</f>
        <v/>
      </c>
    </row>
    <row r="1022">
      <c r="F1022">
        <f>F1021+1</f>
        <v/>
      </c>
      <c r="G1022" s="92">
        <f>EXP($C$12+$C$8*_xlfn.NORM.S.INV(RAND()))</f>
        <v/>
      </c>
    </row>
    <row r="1023">
      <c r="F1023">
        <f>F1022+1</f>
        <v/>
      </c>
      <c r="G1023" s="92">
        <f>EXP($C$12+$C$8*_xlfn.NORM.S.INV(RAND()))</f>
        <v/>
      </c>
    </row>
    <row r="1024">
      <c r="F1024">
        <f>F1023+1</f>
        <v/>
      </c>
      <c r="G1024" s="92">
        <f>EXP($C$12+$C$8*_xlfn.NORM.S.INV(RAND()))</f>
        <v/>
      </c>
    </row>
    <row r="1025">
      <c r="F1025">
        <f>F1024+1</f>
        <v/>
      </c>
      <c r="G1025" s="92">
        <f>EXP($C$12+$C$8*_xlfn.NORM.S.INV(RAND()))</f>
        <v/>
      </c>
    </row>
    <row r="1026">
      <c r="F1026">
        <f>F1025+1</f>
        <v/>
      </c>
      <c r="G1026" s="92">
        <f>EXP($C$12+$C$8*_xlfn.NORM.S.INV(RAND()))</f>
        <v/>
      </c>
    </row>
    <row r="1027">
      <c r="F1027">
        <f>F1026+1</f>
        <v/>
      </c>
      <c r="G1027" s="92">
        <f>EXP($C$12+$C$8*_xlfn.NORM.S.INV(RAND()))</f>
        <v/>
      </c>
    </row>
    <row r="1028">
      <c r="F1028">
        <f>F1027+1</f>
        <v/>
      </c>
      <c r="G1028" s="92">
        <f>EXP($C$12+$C$8*_xlfn.NORM.S.INV(RAND()))</f>
        <v/>
      </c>
    </row>
    <row r="1029">
      <c r="F1029">
        <f>F1028+1</f>
        <v/>
      </c>
      <c r="G1029" s="92">
        <f>EXP($C$12+$C$8*_xlfn.NORM.S.INV(RAND()))</f>
        <v/>
      </c>
    </row>
    <row r="1030">
      <c r="F1030">
        <f>F1029+1</f>
        <v/>
      </c>
      <c r="G1030" s="92">
        <f>EXP($C$12+$C$8*_xlfn.NORM.S.INV(RAND()))</f>
        <v/>
      </c>
    </row>
    <row r="1031">
      <c r="F1031">
        <f>F1030+1</f>
        <v/>
      </c>
      <c r="G1031" s="92">
        <f>EXP($C$12+$C$8*_xlfn.NORM.S.INV(RAND()))</f>
        <v/>
      </c>
    </row>
    <row r="1032">
      <c r="F1032">
        <f>F1031+1</f>
        <v/>
      </c>
      <c r="G1032" s="92">
        <f>EXP($C$12+$C$8*_xlfn.NORM.S.INV(RAND()))</f>
        <v/>
      </c>
    </row>
    <row r="1033">
      <c r="F1033">
        <f>F1032+1</f>
        <v/>
      </c>
      <c r="G1033" s="92">
        <f>EXP($C$12+$C$8*_xlfn.NORM.S.INV(RAND()))</f>
        <v/>
      </c>
    </row>
    <row r="1034">
      <c r="F1034">
        <f>F1033+1</f>
        <v/>
      </c>
      <c r="G1034" s="92">
        <f>EXP($C$12+$C$8*_xlfn.NORM.S.INV(RAND()))</f>
        <v/>
      </c>
    </row>
    <row r="1035">
      <c r="F1035">
        <f>F1034+1</f>
        <v/>
      </c>
      <c r="G1035" s="92">
        <f>EXP($C$12+$C$8*_xlfn.NORM.S.INV(RAND()))</f>
        <v/>
      </c>
    </row>
    <row r="1036">
      <c r="F1036">
        <f>F1035+1</f>
        <v/>
      </c>
      <c r="G1036" s="92">
        <f>EXP($C$12+$C$8*_xlfn.NORM.S.INV(RAND()))</f>
        <v/>
      </c>
    </row>
    <row r="1037">
      <c r="F1037">
        <f>F1036+1</f>
        <v/>
      </c>
      <c r="G1037" s="92">
        <f>EXP($C$12+$C$8*_xlfn.NORM.S.INV(RAND()))</f>
        <v/>
      </c>
    </row>
    <row r="1038">
      <c r="F1038">
        <f>F1037+1</f>
        <v/>
      </c>
      <c r="G1038" s="92">
        <f>EXP($C$12+$C$8*_xlfn.NORM.S.INV(RAND()))</f>
        <v/>
      </c>
    </row>
    <row r="1039">
      <c r="F1039">
        <f>F1038+1</f>
        <v/>
      </c>
      <c r="G1039" s="92">
        <f>EXP($C$12+$C$8*_xlfn.NORM.S.INV(RAND()))</f>
        <v/>
      </c>
    </row>
    <row r="1040">
      <c r="F1040">
        <f>F1039+1</f>
        <v/>
      </c>
      <c r="G1040" s="92">
        <f>EXP($C$12+$C$8*_xlfn.NORM.S.INV(RAND()))</f>
        <v/>
      </c>
    </row>
    <row r="1041">
      <c r="F1041">
        <f>F1040+1</f>
        <v/>
      </c>
      <c r="G1041" s="92">
        <f>EXP($C$12+$C$8*_xlfn.NORM.S.INV(RAND()))</f>
        <v/>
      </c>
    </row>
    <row r="1042">
      <c r="F1042">
        <f>F1041+1</f>
        <v/>
      </c>
      <c r="G1042" s="92">
        <f>EXP($C$12+$C$8*_xlfn.NORM.S.INV(RAND()))</f>
        <v/>
      </c>
    </row>
    <row r="1043">
      <c r="F1043">
        <f>F1042+1</f>
        <v/>
      </c>
      <c r="G1043" s="92">
        <f>EXP($C$12+$C$8*_xlfn.NORM.S.INV(RAND()))</f>
        <v/>
      </c>
    </row>
    <row r="1044">
      <c r="F1044">
        <f>F1043+1</f>
        <v/>
      </c>
      <c r="G1044" s="92">
        <f>EXP($C$12+$C$8*_xlfn.NORM.S.INV(RAND()))</f>
        <v/>
      </c>
    </row>
    <row r="1045">
      <c r="F1045">
        <f>F1044+1</f>
        <v/>
      </c>
      <c r="G1045" s="92">
        <f>EXP($C$12+$C$8*_xlfn.NORM.S.INV(RAND()))</f>
        <v/>
      </c>
    </row>
    <row r="1046">
      <c r="F1046">
        <f>F1045+1</f>
        <v/>
      </c>
      <c r="G1046" s="92">
        <f>EXP($C$12+$C$8*_xlfn.NORM.S.INV(RAND()))</f>
        <v/>
      </c>
    </row>
    <row r="1047">
      <c r="F1047">
        <f>F1046+1</f>
        <v/>
      </c>
      <c r="G1047" s="92">
        <f>EXP($C$12+$C$8*_xlfn.NORM.S.INV(RAND()))</f>
        <v/>
      </c>
    </row>
    <row r="1048">
      <c r="F1048">
        <f>F1047+1</f>
        <v/>
      </c>
      <c r="G1048" s="92">
        <f>EXP($C$12+$C$8*_xlfn.NORM.S.INV(RAND()))</f>
        <v/>
      </c>
    </row>
    <row r="1049">
      <c r="F1049">
        <f>F1048+1</f>
        <v/>
      </c>
      <c r="G1049" s="92">
        <f>EXP($C$12+$C$8*_xlfn.NORM.S.INV(RAND()))</f>
        <v/>
      </c>
    </row>
    <row r="1050">
      <c r="F1050">
        <f>F1049+1</f>
        <v/>
      </c>
      <c r="G1050" s="92">
        <f>EXP($C$12+$C$8*_xlfn.NORM.S.INV(RAND()))</f>
        <v/>
      </c>
    </row>
    <row r="1051">
      <c r="F1051">
        <f>F1050+1</f>
        <v/>
      </c>
      <c r="G1051" s="92">
        <f>EXP($C$12+$C$8*_xlfn.NORM.S.INV(RAND()))</f>
        <v/>
      </c>
    </row>
    <row r="1052">
      <c r="F1052">
        <f>F1051+1</f>
        <v/>
      </c>
      <c r="G1052" s="92">
        <f>EXP($C$12+$C$8*_xlfn.NORM.S.INV(RAND()))</f>
        <v/>
      </c>
    </row>
    <row r="1053">
      <c r="F1053">
        <f>F1052+1</f>
        <v/>
      </c>
      <c r="G1053" s="92">
        <f>EXP($C$12+$C$8*_xlfn.NORM.S.INV(RAND()))</f>
        <v/>
      </c>
    </row>
    <row r="1054">
      <c r="F1054">
        <f>F1053+1</f>
        <v/>
      </c>
      <c r="G1054" s="92">
        <f>EXP($C$12+$C$8*_xlfn.NORM.S.INV(RAND()))</f>
        <v/>
      </c>
    </row>
    <row r="1055">
      <c r="F1055">
        <f>F1054+1</f>
        <v/>
      </c>
      <c r="G1055" s="92">
        <f>EXP($C$12+$C$8*_xlfn.NORM.S.INV(RAND()))</f>
        <v/>
      </c>
    </row>
    <row r="1056">
      <c r="F1056">
        <f>F1055+1</f>
        <v/>
      </c>
      <c r="G1056" s="92">
        <f>EXP($C$12+$C$8*_xlfn.NORM.S.INV(RAND()))</f>
        <v/>
      </c>
    </row>
    <row r="1057">
      <c r="F1057">
        <f>F1056+1</f>
        <v/>
      </c>
      <c r="G1057" s="92">
        <f>EXP($C$12+$C$8*_xlfn.NORM.S.INV(RAND()))</f>
        <v/>
      </c>
    </row>
    <row r="1058">
      <c r="F1058">
        <f>F1057+1</f>
        <v/>
      </c>
      <c r="G1058" s="92">
        <f>EXP($C$12+$C$8*_xlfn.NORM.S.INV(RAND()))</f>
        <v/>
      </c>
    </row>
    <row r="1059">
      <c r="F1059">
        <f>F1058+1</f>
        <v/>
      </c>
      <c r="G1059" s="92">
        <f>EXP($C$12+$C$8*_xlfn.NORM.S.INV(RAND()))</f>
        <v/>
      </c>
    </row>
    <row r="1060">
      <c r="F1060">
        <f>F1059+1</f>
        <v/>
      </c>
      <c r="G1060" s="92">
        <f>EXP($C$12+$C$8*_xlfn.NORM.S.INV(RAND()))</f>
        <v/>
      </c>
    </row>
    <row r="1061">
      <c r="F1061">
        <f>F1060+1</f>
        <v/>
      </c>
      <c r="G1061" s="92">
        <f>EXP($C$12+$C$8*_xlfn.NORM.S.INV(RAND()))</f>
        <v/>
      </c>
    </row>
    <row r="1062">
      <c r="F1062">
        <f>F1061+1</f>
        <v/>
      </c>
      <c r="G1062" s="92">
        <f>EXP($C$12+$C$8*_xlfn.NORM.S.INV(RAND()))</f>
        <v/>
      </c>
    </row>
    <row r="1063">
      <c r="F1063">
        <f>F1062+1</f>
        <v/>
      </c>
      <c r="G1063" s="92">
        <f>EXP($C$12+$C$8*_xlfn.NORM.S.INV(RAND()))</f>
        <v/>
      </c>
    </row>
    <row r="1064">
      <c r="F1064">
        <f>F1063+1</f>
        <v/>
      </c>
      <c r="G1064" s="92">
        <f>EXP($C$12+$C$8*_xlfn.NORM.S.INV(RAND()))</f>
        <v/>
      </c>
    </row>
    <row r="1065">
      <c r="F1065">
        <f>F1064+1</f>
        <v/>
      </c>
      <c r="G1065" s="92">
        <f>EXP($C$12+$C$8*_xlfn.NORM.S.INV(RAND()))</f>
        <v/>
      </c>
    </row>
    <row r="1066">
      <c r="F1066">
        <f>F1065+1</f>
        <v/>
      </c>
      <c r="G1066" s="92">
        <f>EXP($C$12+$C$8*_xlfn.NORM.S.INV(RAND()))</f>
        <v/>
      </c>
    </row>
    <row r="1067">
      <c r="F1067">
        <f>F1066+1</f>
        <v/>
      </c>
      <c r="G1067" s="92">
        <f>EXP($C$12+$C$8*_xlfn.NORM.S.INV(RAND()))</f>
        <v/>
      </c>
    </row>
    <row r="1068">
      <c r="F1068">
        <f>F1067+1</f>
        <v/>
      </c>
      <c r="G1068" s="92">
        <f>EXP($C$12+$C$8*_xlfn.NORM.S.INV(RAND()))</f>
        <v/>
      </c>
    </row>
    <row r="1069">
      <c r="F1069">
        <f>F1068+1</f>
        <v/>
      </c>
      <c r="G1069" s="92">
        <f>EXP($C$12+$C$8*_xlfn.NORM.S.INV(RAND()))</f>
        <v/>
      </c>
    </row>
    <row r="1070">
      <c r="F1070">
        <f>F1069+1</f>
        <v/>
      </c>
      <c r="G1070" s="92">
        <f>EXP($C$12+$C$8*_xlfn.NORM.S.INV(RAND()))</f>
        <v/>
      </c>
    </row>
    <row r="1071">
      <c r="F1071">
        <f>F1070+1</f>
        <v/>
      </c>
      <c r="G1071" s="92">
        <f>EXP($C$12+$C$8*_xlfn.NORM.S.INV(RAND()))</f>
        <v/>
      </c>
    </row>
    <row r="1072">
      <c r="F1072">
        <f>F1071+1</f>
        <v/>
      </c>
      <c r="G1072" s="92">
        <f>EXP($C$12+$C$8*_xlfn.NORM.S.INV(RAND()))</f>
        <v/>
      </c>
    </row>
    <row r="1073">
      <c r="F1073">
        <f>F1072+1</f>
        <v/>
      </c>
      <c r="G1073" s="92">
        <f>EXP($C$12+$C$8*_xlfn.NORM.S.INV(RAND()))</f>
        <v/>
      </c>
    </row>
    <row r="1074">
      <c r="F1074">
        <f>F1073+1</f>
        <v/>
      </c>
      <c r="G1074" s="92">
        <f>EXP($C$12+$C$8*_xlfn.NORM.S.INV(RAND()))</f>
        <v/>
      </c>
    </row>
    <row r="1075">
      <c r="F1075">
        <f>F1074+1</f>
        <v/>
      </c>
      <c r="G1075" s="92">
        <f>EXP($C$12+$C$8*_xlfn.NORM.S.INV(RAND()))</f>
        <v/>
      </c>
    </row>
    <row r="1076">
      <c r="F1076">
        <f>F1075+1</f>
        <v/>
      </c>
      <c r="G1076" s="92">
        <f>EXP($C$12+$C$8*_xlfn.NORM.S.INV(RAND()))</f>
        <v/>
      </c>
    </row>
    <row r="1077">
      <c r="F1077">
        <f>F1076+1</f>
        <v/>
      </c>
      <c r="G1077" s="92">
        <f>EXP($C$12+$C$8*_xlfn.NORM.S.INV(RAND()))</f>
        <v/>
      </c>
    </row>
    <row r="1078">
      <c r="F1078">
        <f>F1077+1</f>
        <v/>
      </c>
      <c r="G1078" s="92">
        <f>EXP($C$12+$C$8*_xlfn.NORM.S.INV(RAND()))</f>
        <v/>
      </c>
    </row>
    <row r="1079">
      <c r="F1079">
        <f>F1078+1</f>
        <v/>
      </c>
      <c r="G1079" s="92">
        <f>EXP($C$12+$C$8*_xlfn.NORM.S.INV(RAND()))</f>
        <v/>
      </c>
    </row>
    <row r="1080">
      <c r="F1080">
        <f>F1079+1</f>
        <v/>
      </c>
      <c r="G1080" s="92">
        <f>EXP($C$12+$C$8*_xlfn.NORM.S.INV(RAND()))</f>
        <v/>
      </c>
    </row>
    <row r="1081">
      <c r="F1081">
        <f>F1080+1</f>
        <v/>
      </c>
      <c r="G1081" s="92">
        <f>EXP($C$12+$C$8*_xlfn.NORM.S.INV(RAND()))</f>
        <v/>
      </c>
    </row>
    <row r="1082">
      <c r="F1082">
        <f>F1081+1</f>
        <v/>
      </c>
      <c r="G1082" s="92">
        <f>EXP($C$12+$C$8*_xlfn.NORM.S.INV(RAND()))</f>
        <v/>
      </c>
    </row>
    <row r="1083">
      <c r="F1083">
        <f>F1082+1</f>
        <v/>
      </c>
      <c r="G1083" s="92">
        <f>EXP($C$12+$C$8*_xlfn.NORM.S.INV(RAND()))</f>
        <v/>
      </c>
    </row>
    <row r="1084">
      <c r="F1084">
        <f>F1083+1</f>
        <v/>
      </c>
      <c r="G1084" s="92">
        <f>EXP($C$12+$C$8*_xlfn.NORM.S.INV(RAND()))</f>
        <v/>
      </c>
    </row>
    <row r="1085">
      <c r="F1085">
        <f>F1084+1</f>
        <v/>
      </c>
      <c r="G1085" s="92">
        <f>EXP($C$12+$C$8*_xlfn.NORM.S.INV(RAND()))</f>
        <v/>
      </c>
    </row>
    <row r="1086">
      <c r="F1086">
        <f>F1085+1</f>
        <v/>
      </c>
      <c r="G1086" s="92">
        <f>EXP($C$12+$C$8*_xlfn.NORM.S.INV(RAND()))</f>
        <v/>
      </c>
    </row>
    <row r="1087">
      <c r="F1087">
        <f>F1086+1</f>
        <v/>
      </c>
      <c r="G1087" s="92">
        <f>EXP($C$12+$C$8*_xlfn.NORM.S.INV(RAND()))</f>
        <v/>
      </c>
    </row>
    <row r="1088">
      <c r="F1088">
        <f>F1087+1</f>
        <v/>
      </c>
      <c r="G1088" s="92">
        <f>EXP($C$12+$C$8*_xlfn.NORM.S.INV(RAND()))</f>
        <v/>
      </c>
    </row>
    <row r="1089">
      <c r="F1089">
        <f>F1088+1</f>
        <v/>
      </c>
      <c r="G1089" s="92">
        <f>EXP($C$12+$C$8*_xlfn.NORM.S.INV(RAND()))</f>
        <v/>
      </c>
    </row>
    <row r="1090">
      <c r="F1090">
        <f>F1089+1</f>
        <v/>
      </c>
      <c r="G1090" s="92">
        <f>EXP($C$12+$C$8*_xlfn.NORM.S.INV(RAND()))</f>
        <v/>
      </c>
    </row>
    <row r="1091">
      <c r="F1091">
        <f>F1090+1</f>
        <v/>
      </c>
      <c r="G1091" s="92">
        <f>EXP($C$12+$C$8*_xlfn.NORM.S.INV(RAND()))</f>
        <v/>
      </c>
    </row>
    <row r="1092">
      <c r="F1092">
        <f>F1091+1</f>
        <v/>
      </c>
      <c r="G1092" s="92">
        <f>EXP($C$12+$C$8*_xlfn.NORM.S.INV(RAND()))</f>
        <v/>
      </c>
    </row>
    <row r="1093">
      <c r="F1093">
        <f>F1092+1</f>
        <v/>
      </c>
      <c r="G1093" s="92">
        <f>EXP($C$12+$C$8*_xlfn.NORM.S.INV(RAND()))</f>
        <v/>
      </c>
    </row>
    <row r="1094">
      <c r="F1094">
        <f>F1093+1</f>
        <v/>
      </c>
      <c r="G1094" s="92">
        <f>EXP($C$12+$C$8*_xlfn.NORM.S.INV(RAND()))</f>
        <v/>
      </c>
    </row>
    <row r="1095">
      <c r="F1095">
        <f>F1094+1</f>
        <v/>
      </c>
      <c r="G1095" s="92">
        <f>EXP($C$12+$C$8*_xlfn.NORM.S.INV(RAND()))</f>
        <v/>
      </c>
    </row>
    <row r="1096">
      <c r="F1096">
        <f>F1095+1</f>
        <v/>
      </c>
      <c r="G1096" s="92">
        <f>EXP($C$12+$C$8*_xlfn.NORM.S.INV(RAND()))</f>
        <v/>
      </c>
    </row>
    <row r="1097">
      <c r="F1097">
        <f>F1096+1</f>
        <v/>
      </c>
      <c r="G1097" s="92">
        <f>EXP($C$12+$C$8*_xlfn.NORM.S.INV(RAND()))</f>
        <v/>
      </c>
    </row>
    <row r="1098">
      <c r="F1098">
        <f>F1097+1</f>
        <v/>
      </c>
      <c r="G1098" s="92">
        <f>EXP($C$12+$C$8*_xlfn.NORM.S.INV(RAND()))</f>
        <v/>
      </c>
    </row>
    <row r="1099">
      <c r="F1099">
        <f>F1098+1</f>
        <v/>
      </c>
      <c r="G1099" s="92">
        <f>EXP($C$12+$C$8*_xlfn.NORM.S.INV(RAND()))</f>
        <v/>
      </c>
    </row>
    <row r="1100">
      <c r="F1100">
        <f>F1099+1</f>
        <v/>
      </c>
      <c r="G1100" s="92">
        <f>EXP($C$12+$C$8*_xlfn.NORM.S.INV(RAND()))</f>
        <v/>
      </c>
    </row>
    <row r="1101">
      <c r="F1101">
        <f>F1100+1</f>
        <v/>
      </c>
      <c r="G1101" s="92">
        <f>EXP($C$12+$C$8*_xlfn.NORM.S.INV(RAND()))</f>
        <v/>
      </c>
    </row>
    <row r="1102">
      <c r="F1102">
        <f>F1101+1</f>
        <v/>
      </c>
      <c r="G1102" s="92">
        <f>EXP($C$12+$C$8*_xlfn.NORM.S.INV(RAND()))</f>
        <v/>
      </c>
    </row>
    <row r="1103">
      <c r="F1103">
        <f>F1102+1</f>
        <v/>
      </c>
      <c r="G1103" s="92">
        <f>EXP($C$12+$C$8*_xlfn.NORM.S.INV(RAND()))</f>
        <v/>
      </c>
    </row>
    <row r="1104">
      <c r="F1104">
        <f>F1103+1</f>
        <v/>
      </c>
      <c r="G1104" s="92">
        <f>EXP($C$12+$C$8*_xlfn.NORM.S.INV(RAND()))</f>
        <v/>
      </c>
    </row>
    <row r="1105">
      <c r="F1105">
        <f>F1104+1</f>
        <v/>
      </c>
      <c r="G1105" s="92">
        <f>EXP($C$12+$C$8*_xlfn.NORM.S.INV(RAND()))</f>
        <v/>
      </c>
    </row>
    <row r="1106">
      <c r="F1106">
        <f>F1105+1</f>
        <v/>
      </c>
      <c r="G1106" s="92">
        <f>EXP($C$12+$C$8*_xlfn.NORM.S.INV(RAND()))</f>
        <v/>
      </c>
    </row>
    <row r="1107">
      <c r="F1107">
        <f>F1106+1</f>
        <v/>
      </c>
      <c r="G1107" s="92">
        <f>EXP($C$12+$C$8*_xlfn.NORM.S.INV(RAND()))</f>
        <v/>
      </c>
    </row>
    <row r="1108">
      <c r="F1108">
        <f>F1107+1</f>
        <v/>
      </c>
      <c r="G1108" s="92">
        <f>EXP($C$12+$C$8*_xlfn.NORM.S.INV(RAND()))</f>
        <v/>
      </c>
    </row>
    <row r="1109">
      <c r="F1109">
        <f>F1108+1</f>
        <v/>
      </c>
      <c r="G1109" s="92">
        <f>EXP($C$12+$C$8*_xlfn.NORM.S.INV(RAND()))</f>
        <v/>
      </c>
    </row>
    <row r="1110">
      <c r="F1110">
        <f>F1109+1</f>
        <v/>
      </c>
      <c r="G1110" s="92">
        <f>EXP($C$12+$C$8*_xlfn.NORM.S.INV(RAND()))</f>
        <v/>
      </c>
    </row>
    <row r="1111">
      <c r="F1111">
        <f>F1110+1</f>
        <v/>
      </c>
      <c r="G1111" s="92">
        <f>EXP($C$12+$C$8*_xlfn.NORM.S.INV(RAND()))</f>
        <v/>
      </c>
    </row>
    <row r="1112">
      <c r="F1112">
        <f>F1111+1</f>
        <v/>
      </c>
      <c r="G1112" s="92">
        <f>EXP($C$12+$C$8*_xlfn.NORM.S.INV(RAND()))</f>
        <v/>
      </c>
    </row>
    <row r="1113">
      <c r="F1113">
        <f>F1112+1</f>
        <v/>
      </c>
      <c r="G1113" s="92">
        <f>EXP($C$12+$C$8*_xlfn.NORM.S.INV(RAND()))</f>
        <v/>
      </c>
    </row>
    <row r="1114">
      <c r="F1114">
        <f>F1113+1</f>
        <v/>
      </c>
      <c r="G1114" s="92">
        <f>EXP($C$12+$C$8*_xlfn.NORM.S.INV(RAND()))</f>
        <v/>
      </c>
    </row>
    <row r="1115">
      <c r="F1115">
        <f>F1114+1</f>
        <v/>
      </c>
      <c r="G1115" s="92">
        <f>EXP($C$12+$C$8*_xlfn.NORM.S.INV(RAND()))</f>
        <v/>
      </c>
    </row>
    <row r="1116">
      <c r="F1116">
        <f>F1115+1</f>
        <v/>
      </c>
      <c r="G1116" s="92">
        <f>EXP($C$12+$C$8*_xlfn.NORM.S.INV(RAND()))</f>
        <v/>
      </c>
    </row>
    <row r="1117">
      <c r="F1117">
        <f>F1116+1</f>
        <v/>
      </c>
      <c r="G1117" s="92">
        <f>EXP($C$12+$C$8*_xlfn.NORM.S.INV(RAND()))</f>
        <v/>
      </c>
    </row>
    <row r="1118">
      <c r="F1118">
        <f>F1117+1</f>
        <v/>
      </c>
      <c r="G1118" s="92">
        <f>EXP($C$12+$C$8*_xlfn.NORM.S.INV(RAND()))</f>
        <v/>
      </c>
    </row>
    <row r="1119">
      <c r="F1119">
        <f>F1118+1</f>
        <v/>
      </c>
      <c r="G1119" s="92">
        <f>EXP($C$12+$C$8*_xlfn.NORM.S.INV(RAND()))</f>
        <v/>
      </c>
    </row>
    <row r="1120">
      <c r="F1120">
        <f>F1119+1</f>
        <v/>
      </c>
      <c r="G1120" s="92">
        <f>EXP($C$12+$C$8*_xlfn.NORM.S.INV(RAND()))</f>
        <v/>
      </c>
    </row>
    <row r="1121">
      <c r="F1121">
        <f>F1120+1</f>
        <v/>
      </c>
      <c r="G1121" s="92">
        <f>EXP($C$12+$C$8*_xlfn.NORM.S.INV(RAND()))</f>
        <v/>
      </c>
    </row>
    <row r="1122">
      <c r="F1122">
        <f>F1121+1</f>
        <v/>
      </c>
      <c r="G1122" s="92">
        <f>EXP($C$12+$C$8*_xlfn.NORM.S.INV(RAND()))</f>
        <v/>
      </c>
    </row>
    <row r="1123">
      <c r="F1123">
        <f>F1122+1</f>
        <v/>
      </c>
      <c r="G1123" s="92">
        <f>EXP($C$12+$C$8*_xlfn.NORM.S.INV(RAND()))</f>
        <v/>
      </c>
    </row>
    <row r="1124">
      <c r="F1124">
        <f>F1123+1</f>
        <v/>
      </c>
      <c r="G1124" s="92">
        <f>EXP($C$12+$C$8*_xlfn.NORM.S.INV(RAND()))</f>
        <v/>
      </c>
    </row>
    <row r="1125">
      <c r="F1125">
        <f>F1124+1</f>
        <v/>
      </c>
      <c r="G1125" s="92">
        <f>EXP($C$12+$C$8*_xlfn.NORM.S.INV(RAND()))</f>
        <v/>
      </c>
    </row>
    <row r="1126">
      <c r="F1126">
        <f>F1125+1</f>
        <v/>
      </c>
      <c r="G1126" s="92">
        <f>EXP($C$12+$C$8*_xlfn.NORM.S.INV(RAND()))</f>
        <v/>
      </c>
    </row>
    <row r="1127">
      <c r="F1127">
        <f>F1126+1</f>
        <v/>
      </c>
      <c r="G1127" s="92">
        <f>EXP($C$12+$C$8*_xlfn.NORM.S.INV(RAND()))</f>
        <v/>
      </c>
    </row>
    <row r="1128">
      <c r="F1128">
        <f>F1127+1</f>
        <v/>
      </c>
      <c r="G1128" s="92">
        <f>EXP($C$12+$C$8*_xlfn.NORM.S.INV(RAND()))</f>
        <v/>
      </c>
    </row>
    <row r="1129">
      <c r="F1129">
        <f>F1128+1</f>
        <v/>
      </c>
      <c r="G1129" s="92">
        <f>EXP($C$12+$C$8*_xlfn.NORM.S.INV(RAND()))</f>
        <v/>
      </c>
    </row>
    <row r="1130">
      <c r="F1130">
        <f>F1129+1</f>
        <v/>
      </c>
      <c r="G1130" s="92">
        <f>EXP($C$12+$C$8*_xlfn.NORM.S.INV(RAND()))</f>
        <v/>
      </c>
    </row>
    <row r="1131">
      <c r="F1131">
        <f>F1130+1</f>
        <v/>
      </c>
      <c r="G1131" s="92">
        <f>EXP($C$12+$C$8*_xlfn.NORM.S.INV(RAND()))</f>
        <v/>
      </c>
    </row>
    <row r="1132">
      <c r="F1132">
        <f>F1131+1</f>
        <v/>
      </c>
      <c r="G1132" s="92">
        <f>EXP($C$12+$C$8*_xlfn.NORM.S.INV(RAND()))</f>
        <v/>
      </c>
    </row>
    <row r="1133">
      <c r="F1133">
        <f>F1132+1</f>
        <v/>
      </c>
      <c r="G1133" s="92">
        <f>EXP($C$12+$C$8*_xlfn.NORM.S.INV(RAND()))</f>
        <v/>
      </c>
    </row>
    <row r="1134">
      <c r="F1134">
        <f>F1133+1</f>
        <v/>
      </c>
      <c r="G1134" s="92">
        <f>EXP($C$12+$C$8*_xlfn.NORM.S.INV(RAND()))</f>
        <v/>
      </c>
    </row>
    <row r="1135">
      <c r="F1135">
        <f>F1134+1</f>
        <v/>
      </c>
      <c r="G1135" s="92">
        <f>EXP($C$12+$C$8*_xlfn.NORM.S.INV(RAND()))</f>
        <v/>
      </c>
    </row>
    <row r="1136">
      <c r="F1136">
        <f>F1135+1</f>
        <v/>
      </c>
      <c r="G1136" s="92">
        <f>EXP($C$12+$C$8*_xlfn.NORM.S.INV(RAND()))</f>
        <v/>
      </c>
    </row>
    <row r="1137">
      <c r="F1137">
        <f>F1136+1</f>
        <v/>
      </c>
      <c r="G1137" s="92">
        <f>EXP($C$12+$C$8*_xlfn.NORM.S.INV(RAND()))</f>
        <v/>
      </c>
    </row>
    <row r="1138">
      <c r="F1138">
        <f>F1137+1</f>
        <v/>
      </c>
      <c r="G1138" s="92">
        <f>EXP($C$12+$C$8*_xlfn.NORM.S.INV(RAND()))</f>
        <v/>
      </c>
    </row>
    <row r="1139">
      <c r="F1139">
        <f>F1138+1</f>
        <v/>
      </c>
      <c r="G1139" s="92">
        <f>EXP($C$12+$C$8*_xlfn.NORM.S.INV(RAND()))</f>
        <v/>
      </c>
    </row>
    <row r="1140">
      <c r="F1140">
        <f>F1139+1</f>
        <v/>
      </c>
      <c r="G1140" s="92">
        <f>EXP($C$12+$C$8*_xlfn.NORM.S.INV(RAND()))</f>
        <v/>
      </c>
    </row>
    <row r="1141">
      <c r="F1141">
        <f>F1140+1</f>
        <v/>
      </c>
      <c r="G1141" s="92">
        <f>EXP($C$12+$C$8*_xlfn.NORM.S.INV(RAND()))</f>
        <v/>
      </c>
    </row>
    <row r="1142">
      <c r="F1142">
        <f>F1141+1</f>
        <v/>
      </c>
      <c r="G1142" s="92">
        <f>EXP($C$12+$C$8*_xlfn.NORM.S.INV(RAND()))</f>
        <v/>
      </c>
    </row>
    <row r="1143">
      <c r="F1143">
        <f>F1142+1</f>
        <v/>
      </c>
      <c r="G1143" s="92">
        <f>EXP($C$12+$C$8*_xlfn.NORM.S.INV(RAND()))</f>
        <v/>
      </c>
    </row>
    <row r="1144">
      <c r="F1144">
        <f>F1143+1</f>
        <v/>
      </c>
      <c r="G1144" s="92">
        <f>EXP($C$12+$C$8*_xlfn.NORM.S.INV(RAND()))</f>
        <v/>
      </c>
    </row>
    <row r="1145">
      <c r="F1145">
        <f>F1144+1</f>
        <v/>
      </c>
      <c r="G1145" s="92">
        <f>EXP($C$12+$C$8*_xlfn.NORM.S.INV(RAND()))</f>
        <v/>
      </c>
    </row>
    <row r="1146">
      <c r="F1146">
        <f>F1145+1</f>
        <v/>
      </c>
      <c r="G1146" s="92">
        <f>EXP($C$12+$C$8*_xlfn.NORM.S.INV(RAND()))</f>
        <v/>
      </c>
    </row>
    <row r="1147">
      <c r="F1147">
        <f>F1146+1</f>
        <v/>
      </c>
      <c r="G1147" s="92">
        <f>EXP($C$12+$C$8*_xlfn.NORM.S.INV(RAND()))</f>
        <v/>
      </c>
    </row>
    <row r="1148">
      <c r="F1148">
        <f>F1147+1</f>
        <v/>
      </c>
      <c r="G1148" s="92">
        <f>EXP($C$12+$C$8*_xlfn.NORM.S.INV(RAND()))</f>
        <v/>
      </c>
    </row>
    <row r="1149">
      <c r="F1149">
        <f>F1148+1</f>
        <v/>
      </c>
      <c r="G1149" s="92">
        <f>EXP($C$12+$C$8*_xlfn.NORM.S.INV(RAND()))</f>
        <v/>
      </c>
    </row>
    <row r="1150">
      <c r="F1150">
        <f>F1149+1</f>
        <v/>
      </c>
      <c r="G1150" s="92">
        <f>EXP($C$12+$C$8*_xlfn.NORM.S.INV(RAND()))</f>
        <v/>
      </c>
    </row>
    <row r="1151">
      <c r="F1151">
        <f>F1150+1</f>
        <v/>
      </c>
      <c r="G1151" s="92">
        <f>EXP($C$12+$C$8*_xlfn.NORM.S.INV(RAND()))</f>
        <v/>
      </c>
    </row>
    <row r="1152">
      <c r="F1152">
        <f>F1151+1</f>
        <v/>
      </c>
      <c r="G1152" s="92">
        <f>EXP($C$12+$C$8*_xlfn.NORM.S.INV(RAND()))</f>
        <v/>
      </c>
    </row>
    <row r="1153">
      <c r="F1153">
        <f>F1152+1</f>
        <v/>
      </c>
      <c r="G1153" s="92">
        <f>EXP($C$12+$C$8*_xlfn.NORM.S.INV(RAND()))</f>
        <v/>
      </c>
    </row>
    <row r="1154">
      <c r="F1154">
        <f>F1153+1</f>
        <v/>
      </c>
      <c r="G1154" s="92">
        <f>EXP($C$12+$C$8*_xlfn.NORM.S.INV(RAND()))</f>
        <v/>
      </c>
    </row>
    <row r="1155">
      <c r="F1155">
        <f>F1154+1</f>
        <v/>
      </c>
      <c r="G1155" s="92">
        <f>EXP($C$12+$C$8*_xlfn.NORM.S.INV(RAND()))</f>
        <v/>
      </c>
    </row>
    <row r="1156">
      <c r="F1156">
        <f>F1155+1</f>
        <v/>
      </c>
      <c r="G1156" s="92">
        <f>EXP($C$12+$C$8*_xlfn.NORM.S.INV(RAND()))</f>
        <v/>
      </c>
    </row>
    <row r="1157">
      <c r="F1157">
        <f>F1156+1</f>
        <v/>
      </c>
      <c r="G1157" s="92">
        <f>EXP($C$12+$C$8*_xlfn.NORM.S.INV(RAND()))</f>
        <v/>
      </c>
    </row>
    <row r="1158">
      <c r="F1158">
        <f>F1157+1</f>
        <v/>
      </c>
      <c r="G1158" s="92">
        <f>EXP($C$12+$C$8*_xlfn.NORM.S.INV(RAND()))</f>
        <v/>
      </c>
    </row>
    <row r="1159">
      <c r="F1159">
        <f>F1158+1</f>
        <v/>
      </c>
      <c r="G1159" s="92">
        <f>EXP($C$12+$C$8*_xlfn.NORM.S.INV(RAND()))</f>
        <v/>
      </c>
    </row>
    <row r="1160">
      <c r="F1160">
        <f>F1159+1</f>
        <v/>
      </c>
      <c r="G1160" s="92">
        <f>EXP($C$12+$C$8*_xlfn.NORM.S.INV(RAND()))</f>
        <v/>
      </c>
    </row>
    <row r="1161">
      <c r="F1161">
        <f>F1160+1</f>
        <v/>
      </c>
      <c r="G1161" s="92">
        <f>EXP($C$12+$C$8*_xlfn.NORM.S.INV(RAND()))</f>
        <v/>
      </c>
    </row>
    <row r="1162">
      <c r="F1162">
        <f>F1161+1</f>
        <v/>
      </c>
      <c r="G1162" s="92">
        <f>EXP($C$12+$C$8*_xlfn.NORM.S.INV(RAND()))</f>
        <v/>
      </c>
    </row>
    <row r="1163">
      <c r="F1163">
        <f>F1162+1</f>
        <v/>
      </c>
      <c r="G1163" s="92">
        <f>EXP($C$12+$C$8*_xlfn.NORM.S.INV(RAND()))</f>
        <v/>
      </c>
    </row>
    <row r="1164">
      <c r="F1164">
        <f>F1163+1</f>
        <v/>
      </c>
      <c r="G1164" s="92">
        <f>EXP($C$12+$C$8*_xlfn.NORM.S.INV(RAND()))</f>
        <v/>
      </c>
    </row>
    <row r="1165">
      <c r="F1165">
        <f>F1164+1</f>
        <v/>
      </c>
      <c r="G1165" s="92">
        <f>EXP($C$12+$C$8*_xlfn.NORM.S.INV(RAND()))</f>
        <v/>
      </c>
    </row>
    <row r="1166">
      <c r="F1166">
        <f>F1165+1</f>
        <v/>
      </c>
      <c r="G1166" s="92">
        <f>EXP($C$12+$C$8*_xlfn.NORM.S.INV(RAND()))</f>
        <v/>
      </c>
    </row>
    <row r="1167">
      <c r="F1167">
        <f>F1166+1</f>
        <v/>
      </c>
      <c r="G1167" s="92">
        <f>EXP($C$12+$C$8*_xlfn.NORM.S.INV(RAND()))</f>
        <v/>
      </c>
    </row>
    <row r="1168">
      <c r="F1168">
        <f>F1167+1</f>
        <v/>
      </c>
      <c r="G1168" s="92">
        <f>EXP($C$12+$C$8*_xlfn.NORM.S.INV(RAND()))</f>
        <v/>
      </c>
    </row>
    <row r="1169">
      <c r="F1169">
        <f>F1168+1</f>
        <v/>
      </c>
      <c r="G1169" s="92">
        <f>EXP($C$12+$C$8*_xlfn.NORM.S.INV(RAND()))</f>
        <v/>
      </c>
    </row>
    <row r="1170">
      <c r="F1170">
        <f>F1169+1</f>
        <v/>
      </c>
      <c r="G1170" s="92">
        <f>EXP($C$12+$C$8*_xlfn.NORM.S.INV(RAND()))</f>
        <v/>
      </c>
    </row>
    <row r="1171">
      <c r="F1171">
        <f>F1170+1</f>
        <v/>
      </c>
      <c r="G1171" s="92">
        <f>EXP($C$12+$C$8*_xlfn.NORM.S.INV(RAND()))</f>
        <v/>
      </c>
    </row>
    <row r="1172">
      <c r="F1172">
        <f>F1171+1</f>
        <v/>
      </c>
      <c r="G1172" s="92">
        <f>EXP($C$12+$C$8*_xlfn.NORM.S.INV(RAND()))</f>
        <v/>
      </c>
    </row>
    <row r="1173">
      <c r="F1173">
        <f>F1172+1</f>
        <v/>
      </c>
      <c r="G1173" s="92">
        <f>EXP($C$12+$C$8*_xlfn.NORM.S.INV(RAND()))</f>
        <v/>
      </c>
    </row>
    <row r="1174">
      <c r="F1174">
        <f>F1173+1</f>
        <v/>
      </c>
      <c r="G1174" s="92">
        <f>EXP($C$12+$C$8*_xlfn.NORM.S.INV(RAND()))</f>
        <v/>
      </c>
    </row>
    <row r="1175">
      <c r="F1175">
        <f>F1174+1</f>
        <v/>
      </c>
      <c r="G1175" s="92">
        <f>EXP($C$12+$C$8*_xlfn.NORM.S.INV(RAND()))</f>
        <v/>
      </c>
    </row>
    <row r="1176">
      <c r="F1176">
        <f>F1175+1</f>
        <v/>
      </c>
      <c r="G1176" s="92">
        <f>EXP($C$12+$C$8*_xlfn.NORM.S.INV(RAND()))</f>
        <v/>
      </c>
    </row>
    <row r="1177">
      <c r="F1177">
        <f>F1176+1</f>
        <v/>
      </c>
      <c r="G1177" s="92">
        <f>EXP($C$12+$C$8*_xlfn.NORM.S.INV(RAND()))</f>
        <v/>
      </c>
    </row>
    <row r="1178">
      <c r="F1178">
        <f>F1177+1</f>
        <v/>
      </c>
      <c r="G1178" s="92">
        <f>EXP($C$12+$C$8*_xlfn.NORM.S.INV(RAND()))</f>
        <v/>
      </c>
    </row>
    <row r="1179">
      <c r="F1179">
        <f>F1178+1</f>
        <v/>
      </c>
      <c r="G1179" s="92">
        <f>EXP($C$12+$C$8*_xlfn.NORM.S.INV(RAND()))</f>
        <v/>
      </c>
    </row>
    <row r="1180">
      <c r="F1180">
        <f>F1179+1</f>
        <v/>
      </c>
      <c r="G1180" s="92">
        <f>EXP($C$12+$C$8*_xlfn.NORM.S.INV(RAND()))</f>
        <v/>
      </c>
    </row>
    <row r="1181">
      <c r="F1181">
        <f>F1180+1</f>
        <v/>
      </c>
      <c r="G1181" s="92">
        <f>EXP($C$12+$C$8*_xlfn.NORM.S.INV(RAND()))</f>
        <v/>
      </c>
    </row>
    <row r="1182">
      <c r="F1182">
        <f>F1181+1</f>
        <v/>
      </c>
      <c r="G1182" s="92">
        <f>EXP($C$12+$C$8*_xlfn.NORM.S.INV(RAND()))</f>
        <v/>
      </c>
    </row>
    <row r="1183">
      <c r="F1183">
        <f>F1182+1</f>
        <v/>
      </c>
      <c r="G1183" s="92">
        <f>EXP($C$12+$C$8*_xlfn.NORM.S.INV(RAND()))</f>
        <v/>
      </c>
    </row>
    <row r="1184">
      <c r="F1184">
        <f>F1183+1</f>
        <v/>
      </c>
      <c r="G1184" s="92">
        <f>EXP($C$12+$C$8*_xlfn.NORM.S.INV(RAND()))</f>
        <v/>
      </c>
    </row>
    <row r="1185">
      <c r="F1185">
        <f>F1184+1</f>
        <v/>
      </c>
      <c r="G1185" s="92">
        <f>EXP($C$12+$C$8*_xlfn.NORM.S.INV(RAND()))</f>
        <v/>
      </c>
    </row>
    <row r="1186">
      <c r="F1186">
        <f>F1185+1</f>
        <v/>
      </c>
      <c r="G1186" s="92">
        <f>EXP($C$12+$C$8*_xlfn.NORM.S.INV(RAND()))</f>
        <v/>
      </c>
    </row>
    <row r="1187">
      <c r="F1187">
        <f>F1186+1</f>
        <v/>
      </c>
      <c r="G1187" s="92">
        <f>EXP($C$12+$C$8*_xlfn.NORM.S.INV(RAND()))</f>
        <v/>
      </c>
    </row>
    <row r="1188">
      <c r="F1188">
        <f>F1187+1</f>
        <v/>
      </c>
      <c r="G1188" s="92">
        <f>EXP($C$12+$C$8*_xlfn.NORM.S.INV(RAND()))</f>
        <v/>
      </c>
    </row>
    <row r="1189">
      <c r="F1189">
        <f>F1188+1</f>
        <v/>
      </c>
      <c r="G1189" s="92">
        <f>EXP($C$12+$C$8*_xlfn.NORM.S.INV(RAND()))</f>
        <v/>
      </c>
    </row>
    <row r="1190">
      <c r="F1190">
        <f>F1189+1</f>
        <v/>
      </c>
      <c r="G1190" s="92">
        <f>EXP($C$12+$C$8*_xlfn.NORM.S.INV(RAND()))</f>
        <v/>
      </c>
    </row>
    <row r="1191">
      <c r="F1191">
        <f>F1190+1</f>
        <v/>
      </c>
      <c r="G1191" s="92">
        <f>EXP($C$12+$C$8*_xlfn.NORM.S.INV(RAND()))</f>
        <v/>
      </c>
    </row>
    <row r="1192">
      <c r="F1192">
        <f>F1191+1</f>
        <v/>
      </c>
      <c r="G1192" s="92">
        <f>EXP($C$12+$C$8*_xlfn.NORM.S.INV(RAND()))</f>
        <v/>
      </c>
    </row>
    <row r="1193">
      <c r="F1193">
        <f>F1192+1</f>
        <v/>
      </c>
      <c r="G1193" s="92">
        <f>EXP($C$12+$C$8*_xlfn.NORM.S.INV(RAND()))</f>
        <v/>
      </c>
    </row>
    <row r="1194">
      <c r="F1194">
        <f>F1193+1</f>
        <v/>
      </c>
      <c r="G1194" s="92">
        <f>EXP($C$12+$C$8*_xlfn.NORM.S.INV(RAND()))</f>
        <v/>
      </c>
    </row>
    <row r="1195">
      <c r="F1195">
        <f>F1194+1</f>
        <v/>
      </c>
      <c r="G1195" s="92">
        <f>EXP($C$12+$C$8*_xlfn.NORM.S.INV(RAND()))</f>
        <v/>
      </c>
    </row>
    <row r="1196">
      <c r="F1196">
        <f>F1195+1</f>
        <v/>
      </c>
      <c r="G1196" s="92">
        <f>EXP($C$12+$C$8*_xlfn.NORM.S.INV(RAND()))</f>
        <v/>
      </c>
    </row>
    <row r="1197">
      <c r="F1197">
        <f>F1196+1</f>
        <v/>
      </c>
      <c r="G1197" s="92">
        <f>EXP($C$12+$C$8*_xlfn.NORM.S.INV(RAND()))</f>
        <v/>
      </c>
    </row>
    <row r="1198">
      <c r="F1198">
        <f>F1197+1</f>
        <v/>
      </c>
      <c r="G1198" s="92">
        <f>EXP($C$12+$C$8*_xlfn.NORM.S.INV(RAND()))</f>
        <v/>
      </c>
    </row>
    <row r="1199">
      <c r="F1199">
        <f>F1198+1</f>
        <v/>
      </c>
      <c r="G1199" s="92">
        <f>EXP($C$12+$C$8*_xlfn.NORM.S.INV(RAND()))</f>
        <v/>
      </c>
    </row>
    <row r="1200">
      <c r="F1200">
        <f>F1199+1</f>
        <v/>
      </c>
      <c r="G1200" s="92">
        <f>EXP($C$12+$C$8*_xlfn.NORM.S.INV(RAND()))</f>
        <v/>
      </c>
    </row>
    <row r="1201">
      <c r="F1201">
        <f>F1200+1</f>
        <v/>
      </c>
      <c r="G1201" s="92">
        <f>EXP($C$12+$C$8*_xlfn.NORM.S.INV(RAND()))</f>
        <v/>
      </c>
    </row>
    <row r="1202">
      <c r="F1202">
        <f>F1201+1</f>
        <v/>
      </c>
      <c r="G1202" s="92">
        <f>EXP($C$12+$C$8*_xlfn.NORM.S.INV(RAND()))</f>
        <v/>
      </c>
    </row>
    <row r="1203">
      <c r="F1203">
        <f>F1202+1</f>
        <v/>
      </c>
      <c r="G1203" s="92">
        <f>EXP($C$12+$C$8*_xlfn.NORM.S.INV(RAND()))</f>
        <v/>
      </c>
    </row>
    <row r="1204">
      <c r="F1204">
        <f>F1203+1</f>
        <v/>
      </c>
      <c r="G1204" s="92">
        <f>EXP($C$12+$C$8*_xlfn.NORM.S.INV(RAND()))</f>
        <v/>
      </c>
    </row>
    <row r="1205">
      <c r="F1205">
        <f>F1204+1</f>
        <v/>
      </c>
      <c r="G1205" s="92">
        <f>EXP($C$12+$C$8*_xlfn.NORM.S.INV(RAND()))</f>
        <v/>
      </c>
    </row>
    <row r="1206">
      <c r="F1206">
        <f>F1205+1</f>
        <v/>
      </c>
      <c r="G1206" s="92">
        <f>EXP($C$12+$C$8*_xlfn.NORM.S.INV(RAND()))</f>
        <v/>
      </c>
    </row>
    <row r="1207">
      <c r="F1207">
        <f>F1206+1</f>
        <v/>
      </c>
      <c r="G1207" s="92">
        <f>EXP($C$12+$C$8*_xlfn.NORM.S.INV(RAND()))</f>
        <v/>
      </c>
    </row>
    <row r="1208">
      <c r="F1208">
        <f>F1207+1</f>
        <v/>
      </c>
      <c r="G1208" s="92">
        <f>EXP($C$12+$C$8*_xlfn.NORM.S.INV(RAND()))</f>
        <v/>
      </c>
    </row>
    <row r="1209">
      <c r="F1209">
        <f>F1208+1</f>
        <v/>
      </c>
      <c r="G1209" s="92">
        <f>EXP($C$12+$C$8*_xlfn.NORM.S.INV(RAND()))</f>
        <v/>
      </c>
    </row>
    <row r="1210">
      <c r="F1210">
        <f>F1209+1</f>
        <v/>
      </c>
      <c r="G1210" s="92">
        <f>EXP($C$12+$C$8*_xlfn.NORM.S.INV(RAND()))</f>
        <v/>
      </c>
    </row>
    <row r="1211">
      <c r="F1211">
        <f>F1210+1</f>
        <v/>
      </c>
      <c r="G1211" s="92">
        <f>EXP($C$12+$C$8*_xlfn.NORM.S.INV(RAND()))</f>
        <v/>
      </c>
    </row>
    <row r="1212">
      <c r="F1212">
        <f>F1211+1</f>
        <v/>
      </c>
      <c r="G1212" s="92">
        <f>EXP($C$12+$C$8*_xlfn.NORM.S.INV(RAND()))</f>
        <v/>
      </c>
    </row>
    <row r="1213">
      <c r="F1213">
        <f>F1212+1</f>
        <v/>
      </c>
      <c r="G1213" s="92">
        <f>EXP($C$12+$C$8*_xlfn.NORM.S.INV(RAND()))</f>
        <v/>
      </c>
    </row>
    <row r="1214">
      <c r="F1214">
        <f>F1213+1</f>
        <v/>
      </c>
      <c r="G1214" s="92">
        <f>EXP($C$12+$C$8*_xlfn.NORM.S.INV(RAND()))</f>
        <v/>
      </c>
    </row>
    <row r="1215">
      <c r="F1215">
        <f>F1214+1</f>
        <v/>
      </c>
      <c r="G1215" s="92">
        <f>EXP($C$12+$C$8*_xlfn.NORM.S.INV(RAND()))</f>
        <v/>
      </c>
    </row>
    <row r="1216">
      <c r="F1216">
        <f>F1215+1</f>
        <v/>
      </c>
      <c r="G1216" s="92">
        <f>EXP($C$12+$C$8*_xlfn.NORM.S.INV(RAND()))</f>
        <v/>
      </c>
    </row>
    <row r="1217">
      <c r="F1217">
        <f>F1216+1</f>
        <v/>
      </c>
      <c r="G1217" s="92">
        <f>EXP($C$12+$C$8*_xlfn.NORM.S.INV(RAND()))</f>
        <v/>
      </c>
    </row>
    <row r="1218">
      <c r="F1218">
        <f>F1217+1</f>
        <v/>
      </c>
      <c r="G1218" s="92">
        <f>EXP($C$12+$C$8*_xlfn.NORM.S.INV(RAND()))</f>
        <v/>
      </c>
    </row>
    <row r="1219">
      <c r="F1219">
        <f>F1218+1</f>
        <v/>
      </c>
      <c r="G1219" s="92">
        <f>EXP($C$12+$C$8*_xlfn.NORM.S.INV(RAND()))</f>
        <v/>
      </c>
    </row>
    <row r="1220">
      <c r="F1220">
        <f>F1219+1</f>
        <v/>
      </c>
      <c r="G1220" s="92">
        <f>EXP($C$12+$C$8*_xlfn.NORM.S.INV(RAND()))</f>
        <v/>
      </c>
    </row>
    <row r="1221">
      <c r="F1221">
        <f>F1220+1</f>
        <v/>
      </c>
      <c r="G1221" s="92">
        <f>EXP($C$12+$C$8*_xlfn.NORM.S.INV(RAND()))</f>
        <v/>
      </c>
    </row>
    <row r="1222">
      <c r="F1222">
        <f>F1221+1</f>
        <v/>
      </c>
      <c r="G1222" s="92">
        <f>EXP($C$12+$C$8*_xlfn.NORM.S.INV(RAND()))</f>
        <v/>
      </c>
    </row>
    <row r="1223">
      <c r="F1223">
        <f>F1222+1</f>
        <v/>
      </c>
      <c r="G1223" s="92">
        <f>EXP($C$12+$C$8*_xlfn.NORM.S.INV(RAND()))</f>
        <v/>
      </c>
    </row>
    <row r="1224">
      <c r="F1224">
        <f>F1223+1</f>
        <v/>
      </c>
      <c r="G1224" s="92">
        <f>EXP($C$12+$C$8*_xlfn.NORM.S.INV(RAND()))</f>
        <v/>
      </c>
    </row>
    <row r="1225">
      <c r="F1225">
        <f>F1224+1</f>
        <v/>
      </c>
      <c r="G1225" s="92">
        <f>EXP($C$12+$C$8*_xlfn.NORM.S.INV(RAND()))</f>
        <v/>
      </c>
    </row>
    <row r="1226">
      <c r="F1226">
        <f>F1225+1</f>
        <v/>
      </c>
      <c r="G1226" s="92">
        <f>EXP($C$12+$C$8*_xlfn.NORM.S.INV(RAND()))</f>
        <v/>
      </c>
    </row>
    <row r="1227">
      <c r="F1227">
        <f>F1226+1</f>
        <v/>
      </c>
      <c r="G1227" s="92">
        <f>EXP($C$12+$C$8*_xlfn.NORM.S.INV(RAND()))</f>
        <v/>
      </c>
    </row>
    <row r="1228">
      <c r="F1228">
        <f>F1227+1</f>
        <v/>
      </c>
      <c r="G1228" s="92">
        <f>EXP($C$12+$C$8*_xlfn.NORM.S.INV(RAND()))</f>
        <v/>
      </c>
    </row>
    <row r="1229">
      <c r="F1229">
        <f>F1228+1</f>
        <v/>
      </c>
      <c r="G1229" s="92">
        <f>EXP($C$12+$C$8*_xlfn.NORM.S.INV(RAND()))</f>
        <v/>
      </c>
    </row>
    <row r="1230">
      <c r="F1230">
        <f>F1229+1</f>
        <v/>
      </c>
      <c r="G1230" s="92">
        <f>EXP($C$12+$C$8*_xlfn.NORM.S.INV(RAND()))</f>
        <v/>
      </c>
    </row>
    <row r="1231">
      <c r="F1231">
        <f>F1230+1</f>
        <v/>
      </c>
      <c r="G1231" s="92">
        <f>EXP($C$12+$C$8*_xlfn.NORM.S.INV(RAND()))</f>
        <v/>
      </c>
    </row>
    <row r="1232">
      <c r="F1232">
        <f>F1231+1</f>
        <v/>
      </c>
      <c r="G1232" s="92">
        <f>EXP($C$12+$C$8*_xlfn.NORM.S.INV(RAND()))</f>
        <v/>
      </c>
    </row>
    <row r="1233">
      <c r="F1233">
        <f>F1232+1</f>
        <v/>
      </c>
      <c r="G1233" s="92">
        <f>EXP($C$12+$C$8*_xlfn.NORM.S.INV(RAND()))</f>
        <v/>
      </c>
    </row>
    <row r="1234">
      <c r="F1234">
        <f>F1233+1</f>
        <v/>
      </c>
      <c r="G1234" s="92">
        <f>EXP($C$12+$C$8*_xlfn.NORM.S.INV(RAND()))</f>
        <v/>
      </c>
    </row>
    <row r="1235">
      <c r="F1235">
        <f>F1234+1</f>
        <v/>
      </c>
      <c r="G1235" s="92">
        <f>EXP($C$12+$C$8*_xlfn.NORM.S.INV(RAND()))</f>
        <v/>
      </c>
    </row>
    <row r="1236">
      <c r="F1236">
        <f>F1235+1</f>
        <v/>
      </c>
      <c r="G1236" s="92">
        <f>EXP($C$12+$C$8*_xlfn.NORM.S.INV(RAND()))</f>
        <v/>
      </c>
    </row>
    <row r="1237">
      <c r="F1237">
        <f>F1236+1</f>
        <v/>
      </c>
      <c r="G1237" s="92">
        <f>EXP($C$12+$C$8*_xlfn.NORM.S.INV(RAND()))</f>
        <v/>
      </c>
    </row>
    <row r="1238">
      <c r="F1238">
        <f>F1237+1</f>
        <v/>
      </c>
      <c r="G1238" s="92">
        <f>EXP($C$12+$C$8*_xlfn.NORM.S.INV(RAND()))</f>
        <v/>
      </c>
    </row>
    <row r="1239">
      <c r="F1239">
        <f>F1238+1</f>
        <v/>
      </c>
      <c r="G1239" s="92">
        <f>EXP($C$12+$C$8*_xlfn.NORM.S.INV(RAND()))</f>
        <v/>
      </c>
    </row>
    <row r="1240">
      <c r="F1240">
        <f>F1239+1</f>
        <v/>
      </c>
      <c r="G1240" s="92">
        <f>EXP($C$12+$C$8*_xlfn.NORM.S.INV(RAND()))</f>
        <v/>
      </c>
    </row>
    <row r="1241">
      <c r="F1241">
        <f>F1240+1</f>
        <v/>
      </c>
      <c r="G1241" s="92">
        <f>EXP($C$12+$C$8*_xlfn.NORM.S.INV(RAND()))</f>
        <v/>
      </c>
    </row>
    <row r="1242">
      <c r="F1242">
        <f>F1241+1</f>
        <v/>
      </c>
      <c r="G1242" s="92">
        <f>EXP($C$12+$C$8*_xlfn.NORM.S.INV(RAND()))</f>
        <v/>
      </c>
    </row>
    <row r="1243">
      <c r="F1243">
        <f>F1242+1</f>
        <v/>
      </c>
      <c r="G1243" s="92">
        <f>EXP($C$12+$C$8*_xlfn.NORM.S.INV(RAND()))</f>
        <v/>
      </c>
    </row>
    <row r="1244">
      <c r="F1244">
        <f>F1243+1</f>
        <v/>
      </c>
      <c r="G1244" s="92">
        <f>EXP($C$12+$C$8*_xlfn.NORM.S.INV(RAND()))</f>
        <v/>
      </c>
    </row>
    <row r="1245">
      <c r="F1245">
        <f>F1244+1</f>
        <v/>
      </c>
      <c r="G1245" s="92">
        <f>EXP($C$12+$C$8*_xlfn.NORM.S.INV(RAND()))</f>
        <v/>
      </c>
    </row>
    <row r="1246">
      <c r="F1246">
        <f>F1245+1</f>
        <v/>
      </c>
      <c r="G1246" s="92">
        <f>EXP($C$12+$C$8*_xlfn.NORM.S.INV(RAND()))</f>
        <v/>
      </c>
    </row>
    <row r="1247">
      <c r="F1247">
        <f>F1246+1</f>
        <v/>
      </c>
      <c r="G1247" s="92">
        <f>EXP($C$12+$C$8*_xlfn.NORM.S.INV(RAND()))</f>
        <v/>
      </c>
    </row>
    <row r="1248">
      <c r="F1248">
        <f>F1247+1</f>
        <v/>
      </c>
      <c r="G1248" s="92">
        <f>EXP($C$12+$C$8*_xlfn.NORM.S.INV(RAND()))</f>
        <v/>
      </c>
    </row>
    <row r="1249">
      <c r="F1249">
        <f>F1248+1</f>
        <v/>
      </c>
      <c r="G1249" s="92">
        <f>EXP($C$12+$C$8*_xlfn.NORM.S.INV(RAND()))</f>
        <v/>
      </c>
    </row>
    <row r="1250">
      <c r="F1250">
        <f>F1249+1</f>
        <v/>
      </c>
      <c r="G1250" s="92">
        <f>EXP($C$12+$C$8*_xlfn.NORM.S.INV(RAND()))</f>
        <v/>
      </c>
    </row>
    <row r="1251">
      <c r="F1251">
        <f>F1250+1</f>
        <v/>
      </c>
      <c r="G1251" s="92">
        <f>EXP($C$12+$C$8*_xlfn.NORM.S.INV(RAND()))</f>
        <v/>
      </c>
    </row>
    <row r="1252">
      <c r="F1252">
        <f>F1251+1</f>
        <v/>
      </c>
      <c r="G1252" s="92">
        <f>EXP($C$12+$C$8*_xlfn.NORM.S.INV(RAND()))</f>
        <v/>
      </c>
    </row>
    <row r="1253">
      <c r="F1253">
        <f>F1252+1</f>
        <v/>
      </c>
      <c r="G1253" s="92">
        <f>EXP($C$12+$C$8*_xlfn.NORM.S.INV(RAND()))</f>
        <v/>
      </c>
    </row>
    <row r="1254">
      <c r="F1254">
        <f>F1253+1</f>
        <v/>
      </c>
      <c r="G1254" s="92">
        <f>EXP($C$12+$C$8*_xlfn.NORM.S.INV(RAND()))</f>
        <v/>
      </c>
    </row>
    <row r="1255">
      <c r="F1255">
        <f>F1254+1</f>
        <v/>
      </c>
      <c r="G1255" s="92">
        <f>EXP($C$12+$C$8*_xlfn.NORM.S.INV(RAND()))</f>
        <v/>
      </c>
    </row>
    <row r="1256">
      <c r="F1256">
        <f>F1255+1</f>
        <v/>
      </c>
      <c r="G1256" s="92">
        <f>EXP($C$12+$C$8*_xlfn.NORM.S.INV(RAND()))</f>
        <v/>
      </c>
    </row>
    <row r="1257">
      <c r="F1257">
        <f>F1256+1</f>
        <v/>
      </c>
      <c r="G1257" s="92">
        <f>EXP($C$12+$C$8*_xlfn.NORM.S.INV(RAND()))</f>
        <v/>
      </c>
    </row>
    <row r="1258">
      <c r="F1258">
        <f>F1257+1</f>
        <v/>
      </c>
      <c r="G1258" s="92">
        <f>EXP($C$12+$C$8*_xlfn.NORM.S.INV(RAND()))</f>
        <v/>
      </c>
    </row>
    <row r="1259">
      <c r="F1259">
        <f>F1258+1</f>
        <v/>
      </c>
      <c r="G1259" s="92">
        <f>EXP($C$12+$C$8*_xlfn.NORM.S.INV(RAND()))</f>
        <v/>
      </c>
    </row>
    <row r="1260">
      <c r="F1260">
        <f>F1259+1</f>
        <v/>
      </c>
      <c r="G1260" s="92">
        <f>EXP($C$12+$C$8*_xlfn.NORM.S.INV(RAND()))</f>
        <v/>
      </c>
    </row>
    <row r="1261">
      <c r="F1261">
        <f>F1260+1</f>
        <v/>
      </c>
      <c r="G1261" s="92">
        <f>EXP($C$12+$C$8*_xlfn.NORM.S.INV(RAND()))</f>
        <v/>
      </c>
    </row>
    <row r="1262">
      <c r="F1262">
        <f>F1261+1</f>
        <v/>
      </c>
      <c r="G1262" s="92">
        <f>EXP($C$12+$C$8*_xlfn.NORM.S.INV(RAND()))</f>
        <v/>
      </c>
    </row>
    <row r="1263">
      <c r="F1263">
        <f>F1262+1</f>
        <v/>
      </c>
      <c r="G1263" s="92">
        <f>EXP($C$12+$C$8*_xlfn.NORM.S.INV(RAND()))</f>
        <v/>
      </c>
    </row>
    <row r="1264">
      <c r="F1264">
        <f>F1263+1</f>
        <v/>
      </c>
      <c r="G1264" s="92">
        <f>EXP($C$12+$C$8*_xlfn.NORM.S.INV(RAND()))</f>
        <v/>
      </c>
    </row>
    <row r="1265">
      <c r="F1265">
        <f>F1264+1</f>
        <v/>
      </c>
      <c r="G1265" s="92">
        <f>EXP($C$12+$C$8*_xlfn.NORM.S.INV(RAND()))</f>
        <v/>
      </c>
    </row>
    <row r="1266">
      <c r="F1266">
        <f>F1265+1</f>
        <v/>
      </c>
      <c r="G1266" s="92">
        <f>EXP($C$12+$C$8*_xlfn.NORM.S.INV(RAND()))</f>
        <v/>
      </c>
    </row>
    <row r="1267">
      <c r="F1267">
        <f>F1266+1</f>
        <v/>
      </c>
      <c r="G1267" s="92">
        <f>EXP($C$12+$C$8*_xlfn.NORM.S.INV(RAND()))</f>
        <v/>
      </c>
    </row>
    <row r="1268">
      <c r="F1268">
        <f>F1267+1</f>
        <v/>
      </c>
      <c r="G1268" s="92">
        <f>EXP($C$12+$C$8*_xlfn.NORM.S.INV(RAND()))</f>
        <v/>
      </c>
    </row>
    <row r="1269">
      <c r="F1269">
        <f>F1268+1</f>
        <v/>
      </c>
      <c r="G1269" s="92">
        <f>EXP($C$12+$C$8*_xlfn.NORM.S.INV(RAND()))</f>
        <v/>
      </c>
    </row>
    <row r="1270">
      <c r="F1270">
        <f>F1269+1</f>
        <v/>
      </c>
      <c r="G1270" s="92">
        <f>EXP($C$12+$C$8*_xlfn.NORM.S.INV(RAND()))</f>
        <v/>
      </c>
    </row>
    <row r="1271">
      <c r="F1271">
        <f>F1270+1</f>
        <v/>
      </c>
      <c r="G1271" s="92">
        <f>EXP($C$12+$C$8*_xlfn.NORM.S.INV(RAND()))</f>
        <v/>
      </c>
    </row>
    <row r="1272">
      <c r="F1272">
        <f>F1271+1</f>
        <v/>
      </c>
      <c r="G1272" s="92">
        <f>EXP($C$12+$C$8*_xlfn.NORM.S.INV(RAND()))</f>
        <v/>
      </c>
    </row>
    <row r="1273">
      <c r="F1273">
        <f>F1272+1</f>
        <v/>
      </c>
      <c r="G1273" s="92">
        <f>EXP($C$12+$C$8*_xlfn.NORM.S.INV(RAND()))</f>
        <v/>
      </c>
    </row>
    <row r="1274">
      <c r="F1274">
        <f>F1273+1</f>
        <v/>
      </c>
      <c r="G1274" s="92">
        <f>EXP($C$12+$C$8*_xlfn.NORM.S.INV(RAND()))</f>
        <v/>
      </c>
    </row>
    <row r="1275">
      <c r="F1275">
        <f>F1274+1</f>
        <v/>
      </c>
      <c r="G1275" s="92">
        <f>EXP($C$12+$C$8*_xlfn.NORM.S.INV(RAND()))</f>
        <v/>
      </c>
    </row>
    <row r="1276">
      <c r="F1276">
        <f>F1275+1</f>
        <v/>
      </c>
      <c r="G1276" s="92">
        <f>EXP($C$12+$C$8*_xlfn.NORM.S.INV(RAND()))</f>
        <v/>
      </c>
    </row>
    <row r="1277">
      <c r="F1277">
        <f>F1276+1</f>
        <v/>
      </c>
      <c r="G1277" s="92">
        <f>EXP($C$12+$C$8*_xlfn.NORM.S.INV(RAND()))</f>
        <v/>
      </c>
    </row>
    <row r="1278">
      <c r="F1278">
        <f>F1277+1</f>
        <v/>
      </c>
      <c r="G1278" s="92">
        <f>EXP($C$12+$C$8*_xlfn.NORM.S.INV(RAND()))</f>
        <v/>
      </c>
    </row>
    <row r="1279">
      <c r="F1279">
        <f>F1278+1</f>
        <v/>
      </c>
      <c r="G1279" s="92">
        <f>EXP($C$12+$C$8*_xlfn.NORM.S.INV(RAND()))</f>
        <v/>
      </c>
    </row>
    <row r="1280">
      <c r="F1280">
        <f>F1279+1</f>
        <v/>
      </c>
      <c r="G1280" s="92">
        <f>EXP($C$12+$C$8*_xlfn.NORM.S.INV(RAND()))</f>
        <v/>
      </c>
    </row>
    <row r="1281">
      <c r="F1281">
        <f>F1280+1</f>
        <v/>
      </c>
      <c r="G1281" s="92">
        <f>EXP($C$12+$C$8*_xlfn.NORM.S.INV(RAND()))</f>
        <v/>
      </c>
    </row>
    <row r="1282">
      <c r="F1282">
        <f>F1281+1</f>
        <v/>
      </c>
      <c r="G1282" s="92">
        <f>EXP($C$12+$C$8*_xlfn.NORM.S.INV(RAND()))</f>
        <v/>
      </c>
    </row>
    <row r="1283">
      <c r="F1283">
        <f>F1282+1</f>
        <v/>
      </c>
      <c r="G1283" s="92">
        <f>EXP($C$12+$C$8*_xlfn.NORM.S.INV(RAND()))</f>
        <v/>
      </c>
    </row>
    <row r="1284">
      <c r="F1284">
        <f>F1283+1</f>
        <v/>
      </c>
      <c r="G1284" s="92">
        <f>EXP($C$12+$C$8*_xlfn.NORM.S.INV(RAND()))</f>
        <v/>
      </c>
    </row>
    <row r="1285">
      <c r="F1285">
        <f>F1284+1</f>
        <v/>
      </c>
      <c r="G1285" s="92">
        <f>EXP($C$12+$C$8*_xlfn.NORM.S.INV(RAND()))</f>
        <v/>
      </c>
    </row>
    <row r="1286">
      <c r="F1286">
        <f>F1285+1</f>
        <v/>
      </c>
      <c r="G1286" s="92">
        <f>EXP($C$12+$C$8*_xlfn.NORM.S.INV(RAND()))</f>
        <v/>
      </c>
    </row>
    <row r="1287">
      <c r="F1287">
        <f>F1286+1</f>
        <v/>
      </c>
      <c r="G1287" s="92">
        <f>EXP($C$12+$C$8*_xlfn.NORM.S.INV(RAND()))</f>
        <v/>
      </c>
    </row>
    <row r="1288">
      <c r="F1288">
        <f>F1287+1</f>
        <v/>
      </c>
      <c r="G1288" s="92">
        <f>EXP($C$12+$C$8*_xlfn.NORM.S.INV(RAND()))</f>
        <v/>
      </c>
    </row>
    <row r="1289">
      <c r="F1289">
        <f>F1288+1</f>
        <v/>
      </c>
      <c r="G1289" s="92">
        <f>EXP($C$12+$C$8*_xlfn.NORM.S.INV(RAND()))</f>
        <v/>
      </c>
    </row>
    <row r="1290">
      <c r="F1290">
        <f>F1289+1</f>
        <v/>
      </c>
      <c r="G1290" s="92">
        <f>EXP($C$12+$C$8*_xlfn.NORM.S.INV(RAND()))</f>
        <v/>
      </c>
    </row>
    <row r="1291">
      <c r="F1291">
        <f>F1290+1</f>
        <v/>
      </c>
      <c r="G1291" s="92">
        <f>EXP($C$12+$C$8*_xlfn.NORM.S.INV(RAND()))</f>
        <v/>
      </c>
    </row>
    <row r="1292">
      <c r="F1292">
        <f>F1291+1</f>
        <v/>
      </c>
      <c r="G1292" s="92">
        <f>EXP($C$12+$C$8*_xlfn.NORM.S.INV(RAND()))</f>
        <v/>
      </c>
    </row>
    <row r="1293">
      <c r="F1293">
        <f>F1292+1</f>
        <v/>
      </c>
      <c r="G1293" s="92">
        <f>EXP($C$12+$C$8*_xlfn.NORM.S.INV(RAND()))</f>
        <v/>
      </c>
    </row>
    <row r="1294">
      <c r="F1294">
        <f>F1293+1</f>
        <v/>
      </c>
      <c r="G1294" s="92">
        <f>EXP($C$12+$C$8*_xlfn.NORM.S.INV(RAND()))</f>
        <v/>
      </c>
    </row>
    <row r="1295">
      <c r="F1295">
        <f>F1294+1</f>
        <v/>
      </c>
      <c r="G1295" s="92">
        <f>EXP($C$12+$C$8*_xlfn.NORM.S.INV(RAND()))</f>
        <v/>
      </c>
    </row>
    <row r="1296">
      <c r="F1296">
        <f>F1295+1</f>
        <v/>
      </c>
      <c r="G1296" s="92">
        <f>EXP($C$12+$C$8*_xlfn.NORM.S.INV(RAND()))</f>
        <v/>
      </c>
    </row>
    <row r="1297">
      <c r="F1297">
        <f>F1296+1</f>
        <v/>
      </c>
      <c r="G1297" s="92">
        <f>EXP($C$12+$C$8*_xlfn.NORM.S.INV(RAND()))</f>
        <v/>
      </c>
    </row>
    <row r="1298">
      <c r="F1298">
        <f>F1297+1</f>
        <v/>
      </c>
      <c r="G1298" s="92">
        <f>EXP($C$12+$C$8*_xlfn.NORM.S.INV(RAND()))</f>
        <v/>
      </c>
    </row>
    <row r="1299">
      <c r="F1299">
        <f>F1298+1</f>
        <v/>
      </c>
      <c r="G1299" s="92">
        <f>EXP($C$12+$C$8*_xlfn.NORM.S.INV(RAND()))</f>
        <v/>
      </c>
    </row>
    <row r="1300">
      <c r="F1300">
        <f>F1299+1</f>
        <v/>
      </c>
      <c r="G1300" s="92">
        <f>EXP($C$12+$C$8*_xlfn.NORM.S.INV(RAND()))</f>
        <v/>
      </c>
    </row>
    <row r="1301">
      <c r="F1301">
        <f>F1300+1</f>
        <v/>
      </c>
      <c r="G1301" s="92">
        <f>EXP($C$12+$C$8*_xlfn.NORM.S.INV(RAND()))</f>
        <v/>
      </c>
    </row>
    <row r="1302">
      <c r="F1302">
        <f>F1301+1</f>
        <v/>
      </c>
      <c r="G1302" s="92">
        <f>EXP($C$12+$C$8*_xlfn.NORM.S.INV(RAND()))</f>
        <v/>
      </c>
    </row>
    <row r="1303">
      <c r="F1303">
        <f>F1302+1</f>
        <v/>
      </c>
      <c r="G1303" s="92">
        <f>EXP($C$12+$C$8*_xlfn.NORM.S.INV(RAND()))</f>
        <v/>
      </c>
    </row>
    <row r="1304">
      <c r="F1304">
        <f>F1303+1</f>
        <v/>
      </c>
      <c r="G1304" s="92">
        <f>EXP($C$12+$C$8*_xlfn.NORM.S.INV(RAND()))</f>
        <v/>
      </c>
    </row>
    <row r="1305">
      <c r="F1305">
        <f>F1304+1</f>
        <v/>
      </c>
      <c r="G1305" s="92">
        <f>EXP($C$12+$C$8*_xlfn.NORM.S.INV(RAND()))</f>
        <v/>
      </c>
    </row>
    <row r="1306">
      <c r="F1306">
        <f>F1305+1</f>
        <v/>
      </c>
      <c r="G1306" s="92">
        <f>EXP($C$12+$C$8*_xlfn.NORM.S.INV(RAND()))</f>
        <v/>
      </c>
    </row>
    <row r="1307">
      <c r="F1307">
        <f>F1306+1</f>
        <v/>
      </c>
      <c r="G1307" s="92">
        <f>EXP($C$12+$C$8*_xlfn.NORM.S.INV(RAND()))</f>
        <v/>
      </c>
    </row>
    <row r="1308">
      <c r="F1308">
        <f>F1307+1</f>
        <v/>
      </c>
      <c r="G1308" s="92">
        <f>EXP($C$12+$C$8*_xlfn.NORM.S.INV(RAND()))</f>
        <v/>
      </c>
    </row>
    <row r="1309">
      <c r="F1309">
        <f>F1308+1</f>
        <v/>
      </c>
      <c r="G1309" s="92">
        <f>EXP($C$12+$C$8*_xlfn.NORM.S.INV(RAND()))</f>
        <v/>
      </c>
    </row>
    <row r="1310">
      <c r="F1310">
        <f>F1309+1</f>
        <v/>
      </c>
      <c r="G1310" s="92">
        <f>EXP($C$12+$C$8*_xlfn.NORM.S.INV(RAND()))</f>
        <v/>
      </c>
    </row>
    <row r="1311">
      <c r="F1311">
        <f>F1310+1</f>
        <v/>
      </c>
      <c r="G1311" s="92">
        <f>EXP($C$12+$C$8*_xlfn.NORM.S.INV(RAND()))</f>
        <v/>
      </c>
    </row>
    <row r="1312">
      <c r="F1312">
        <f>F1311+1</f>
        <v/>
      </c>
      <c r="G1312" s="92">
        <f>EXP($C$12+$C$8*_xlfn.NORM.S.INV(RAND()))</f>
        <v/>
      </c>
    </row>
    <row r="1313">
      <c r="F1313">
        <f>F1312+1</f>
        <v/>
      </c>
      <c r="G1313" s="92">
        <f>EXP($C$12+$C$8*_xlfn.NORM.S.INV(RAND()))</f>
        <v/>
      </c>
    </row>
    <row r="1314">
      <c r="F1314">
        <f>F1313+1</f>
        <v/>
      </c>
      <c r="G1314" s="92">
        <f>EXP($C$12+$C$8*_xlfn.NORM.S.INV(RAND()))</f>
        <v/>
      </c>
    </row>
    <row r="1315">
      <c r="F1315">
        <f>F1314+1</f>
        <v/>
      </c>
      <c r="G1315" s="92">
        <f>EXP($C$12+$C$8*_xlfn.NORM.S.INV(RAND()))</f>
        <v/>
      </c>
    </row>
    <row r="1316">
      <c r="F1316">
        <f>F1315+1</f>
        <v/>
      </c>
      <c r="G1316" s="92">
        <f>EXP($C$12+$C$8*_xlfn.NORM.S.INV(RAND()))</f>
        <v/>
      </c>
    </row>
    <row r="1317">
      <c r="F1317">
        <f>F1316+1</f>
        <v/>
      </c>
      <c r="G1317" s="92">
        <f>EXP($C$12+$C$8*_xlfn.NORM.S.INV(RAND()))</f>
        <v/>
      </c>
    </row>
    <row r="1318">
      <c r="F1318">
        <f>F1317+1</f>
        <v/>
      </c>
      <c r="G1318" s="92">
        <f>EXP($C$12+$C$8*_xlfn.NORM.S.INV(RAND()))</f>
        <v/>
      </c>
    </row>
    <row r="1319">
      <c r="F1319">
        <f>F1318+1</f>
        <v/>
      </c>
      <c r="G1319" s="92">
        <f>EXP($C$12+$C$8*_xlfn.NORM.S.INV(RAND()))</f>
        <v/>
      </c>
    </row>
    <row r="1320">
      <c r="F1320">
        <f>F1319+1</f>
        <v/>
      </c>
      <c r="G1320" s="92">
        <f>EXP($C$12+$C$8*_xlfn.NORM.S.INV(RAND()))</f>
        <v/>
      </c>
    </row>
    <row r="1321">
      <c r="F1321">
        <f>F1320+1</f>
        <v/>
      </c>
      <c r="G1321" s="92">
        <f>EXP($C$12+$C$8*_xlfn.NORM.S.INV(RAND()))</f>
        <v/>
      </c>
    </row>
    <row r="1322">
      <c r="F1322">
        <f>F1321+1</f>
        <v/>
      </c>
      <c r="G1322" s="92">
        <f>EXP($C$12+$C$8*_xlfn.NORM.S.INV(RAND()))</f>
        <v/>
      </c>
    </row>
    <row r="1323">
      <c r="F1323">
        <f>F1322+1</f>
        <v/>
      </c>
      <c r="G1323" s="92">
        <f>EXP($C$12+$C$8*_xlfn.NORM.S.INV(RAND()))</f>
        <v/>
      </c>
    </row>
    <row r="1324">
      <c r="F1324">
        <f>F1323+1</f>
        <v/>
      </c>
      <c r="G1324" s="92">
        <f>EXP($C$12+$C$8*_xlfn.NORM.S.INV(RAND()))</f>
        <v/>
      </c>
    </row>
    <row r="1325">
      <c r="F1325">
        <f>F1324+1</f>
        <v/>
      </c>
      <c r="G1325" s="92">
        <f>EXP($C$12+$C$8*_xlfn.NORM.S.INV(RAND()))</f>
        <v/>
      </c>
    </row>
    <row r="1326">
      <c r="F1326">
        <f>F1325+1</f>
        <v/>
      </c>
      <c r="G1326" s="92">
        <f>EXP($C$12+$C$8*_xlfn.NORM.S.INV(RAND()))</f>
        <v/>
      </c>
    </row>
    <row r="1327">
      <c r="F1327">
        <f>F1326+1</f>
        <v/>
      </c>
      <c r="G1327" s="92">
        <f>EXP($C$12+$C$8*_xlfn.NORM.S.INV(RAND()))</f>
        <v/>
      </c>
    </row>
    <row r="1328">
      <c r="F1328">
        <f>F1327+1</f>
        <v/>
      </c>
      <c r="G1328" s="92">
        <f>EXP($C$12+$C$8*_xlfn.NORM.S.INV(RAND()))</f>
        <v/>
      </c>
    </row>
    <row r="1329">
      <c r="F1329">
        <f>F1328+1</f>
        <v/>
      </c>
      <c r="G1329" s="92">
        <f>EXP($C$12+$C$8*_xlfn.NORM.S.INV(RAND()))</f>
        <v/>
      </c>
    </row>
    <row r="1330">
      <c r="F1330">
        <f>F1329+1</f>
        <v/>
      </c>
      <c r="G1330" s="92">
        <f>EXP($C$12+$C$8*_xlfn.NORM.S.INV(RAND()))</f>
        <v/>
      </c>
    </row>
    <row r="1331">
      <c r="F1331">
        <f>F1330+1</f>
        <v/>
      </c>
      <c r="G1331" s="92">
        <f>EXP($C$12+$C$8*_xlfn.NORM.S.INV(RAND()))</f>
        <v/>
      </c>
    </row>
    <row r="1332">
      <c r="F1332">
        <f>F1331+1</f>
        <v/>
      </c>
      <c r="G1332" s="92">
        <f>EXP($C$12+$C$8*_xlfn.NORM.S.INV(RAND()))</f>
        <v/>
      </c>
    </row>
    <row r="1333">
      <c r="F1333">
        <f>F1332+1</f>
        <v/>
      </c>
      <c r="G1333" s="92">
        <f>EXP($C$12+$C$8*_xlfn.NORM.S.INV(RAND()))</f>
        <v/>
      </c>
    </row>
    <row r="1334">
      <c r="F1334">
        <f>F1333+1</f>
        <v/>
      </c>
      <c r="G1334" s="92">
        <f>EXP($C$12+$C$8*_xlfn.NORM.S.INV(RAND()))</f>
        <v/>
      </c>
    </row>
    <row r="1335">
      <c r="F1335">
        <f>F1334+1</f>
        <v/>
      </c>
      <c r="G1335" s="92">
        <f>EXP($C$12+$C$8*_xlfn.NORM.S.INV(RAND()))</f>
        <v/>
      </c>
    </row>
    <row r="1336">
      <c r="F1336">
        <f>F1335+1</f>
        <v/>
      </c>
      <c r="G1336" s="92">
        <f>EXP($C$12+$C$8*_xlfn.NORM.S.INV(RAND()))</f>
        <v/>
      </c>
    </row>
    <row r="1337">
      <c r="F1337">
        <f>F1336+1</f>
        <v/>
      </c>
      <c r="G1337" s="92">
        <f>EXP($C$12+$C$8*_xlfn.NORM.S.INV(RAND()))</f>
        <v/>
      </c>
    </row>
    <row r="1338">
      <c r="F1338">
        <f>F1337+1</f>
        <v/>
      </c>
      <c r="G1338" s="92">
        <f>EXP($C$12+$C$8*_xlfn.NORM.S.INV(RAND()))</f>
        <v/>
      </c>
    </row>
    <row r="1339">
      <c r="F1339">
        <f>F1338+1</f>
        <v/>
      </c>
      <c r="G1339" s="92">
        <f>EXP($C$12+$C$8*_xlfn.NORM.S.INV(RAND()))</f>
        <v/>
      </c>
    </row>
    <row r="1340">
      <c r="F1340">
        <f>F1339+1</f>
        <v/>
      </c>
      <c r="G1340" s="92">
        <f>EXP($C$12+$C$8*_xlfn.NORM.S.INV(RAND()))</f>
        <v/>
      </c>
    </row>
    <row r="1341">
      <c r="F1341">
        <f>F1340+1</f>
        <v/>
      </c>
      <c r="G1341" s="92">
        <f>EXP($C$12+$C$8*_xlfn.NORM.S.INV(RAND()))</f>
        <v/>
      </c>
    </row>
    <row r="1342">
      <c r="F1342">
        <f>F1341+1</f>
        <v/>
      </c>
      <c r="G1342" s="92">
        <f>EXP($C$12+$C$8*_xlfn.NORM.S.INV(RAND()))</f>
        <v/>
      </c>
    </row>
    <row r="1343">
      <c r="F1343">
        <f>F1342+1</f>
        <v/>
      </c>
      <c r="G1343" s="92">
        <f>EXP($C$12+$C$8*_xlfn.NORM.S.INV(RAND()))</f>
        <v/>
      </c>
    </row>
    <row r="1344">
      <c r="F1344">
        <f>F1343+1</f>
        <v/>
      </c>
      <c r="G1344" s="92">
        <f>EXP($C$12+$C$8*_xlfn.NORM.S.INV(RAND()))</f>
        <v/>
      </c>
    </row>
    <row r="1345">
      <c r="F1345">
        <f>F1344+1</f>
        <v/>
      </c>
      <c r="G1345" s="92">
        <f>EXP($C$12+$C$8*_xlfn.NORM.S.INV(RAND()))</f>
        <v/>
      </c>
    </row>
    <row r="1346">
      <c r="F1346">
        <f>F1345+1</f>
        <v/>
      </c>
      <c r="G1346" s="92">
        <f>EXP($C$12+$C$8*_xlfn.NORM.S.INV(RAND()))</f>
        <v/>
      </c>
    </row>
    <row r="1347">
      <c r="F1347">
        <f>F1346+1</f>
        <v/>
      </c>
      <c r="G1347" s="92">
        <f>EXP($C$12+$C$8*_xlfn.NORM.S.INV(RAND()))</f>
        <v/>
      </c>
    </row>
    <row r="1348">
      <c r="F1348">
        <f>F1347+1</f>
        <v/>
      </c>
      <c r="G1348" s="92">
        <f>EXP($C$12+$C$8*_xlfn.NORM.S.INV(RAND()))</f>
        <v/>
      </c>
    </row>
    <row r="1349">
      <c r="F1349">
        <f>F1348+1</f>
        <v/>
      </c>
      <c r="G1349" s="92">
        <f>EXP($C$12+$C$8*_xlfn.NORM.S.INV(RAND()))</f>
        <v/>
      </c>
    </row>
    <row r="1350">
      <c r="F1350">
        <f>F1349+1</f>
        <v/>
      </c>
      <c r="G1350" s="92">
        <f>EXP($C$12+$C$8*_xlfn.NORM.S.INV(RAND()))</f>
        <v/>
      </c>
    </row>
    <row r="1351">
      <c r="F1351">
        <f>F1350+1</f>
        <v/>
      </c>
      <c r="G1351" s="92">
        <f>EXP($C$12+$C$8*_xlfn.NORM.S.INV(RAND()))</f>
        <v/>
      </c>
    </row>
    <row r="1352">
      <c r="F1352">
        <f>F1351+1</f>
        <v/>
      </c>
      <c r="G1352" s="92">
        <f>EXP($C$12+$C$8*_xlfn.NORM.S.INV(RAND()))</f>
        <v/>
      </c>
    </row>
    <row r="1353">
      <c r="F1353">
        <f>F1352+1</f>
        <v/>
      </c>
      <c r="G1353" s="92">
        <f>EXP($C$12+$C$8*_xlfn.NORM.S.INV(RAND()))</f>
        <v/>
      </c>
    </row>
    <row r="1354">
      <c r="F1354">
        <f>F1353+1</f>
        <v/>
      </c>
      <c r="G1354" s="92">
        <f>EXP($C$12+$C$8*_xlfn.NORM.S.INV(RAND()))</f>
        <v/>
      </c>
    </row>
    <row r="1355">
      <c r="F1355">
        <f>F1354+1</f>
        <v/>
      </c>
      <c r="G1355" s="92">
        <f>EXP($C$12+$C$8*_xlfn.NORM.S.INV(RAND()))</f>
        <v/>
      </c>
    </row>
    <row r="1356">
      <c r="F1356">
        <f>F1355+1</f>
        <v/>
      </c>
      <c r="G1356" s="92">
        <f>EXP($C$12+$C$8*_xlfn.NORM.S.INV(RAND()))</f>
        <v/>
      </c>
    </row>
    <row r="1357">
      <c r="F1357">
        <f>F1356+1</f>
        <v/>
      </c>
      <c r="G1357" s="92">
        <f>EXP($C$12+$C$8*_xlfn.NORM.S.INV(RAND()))</f>
        <v/>
      </c>
    </row>
    <row r="1358">
      <c r="F1358">
        <f>F1357+1</f>
        <v/>
      </c>
      <c r="G1358" s="92">
        <f>EXP($C$12+$C$8*_xlfn.NORM.S.INV(RAND()))</f>
        <v/>
      </c>
    </row>
    <row r="1359">
      <c r="F1359">
        <f>F1358+1</f>
        <v/>
      </c>
      <c r="G1359" s="92">
        <f>EXP($C$12+$C$8*_xlfn.NORM.S.INV(RAND()))</f>
        <v/>
      </c>
    </row>
    <row r="1360">
      <c r="F1360">
        <f>F1359+1</f>
        <v/>
      </c>
      <c r="G1360" s="92">
        <f>EXP($C$12+$C$8*_xlfn.NORM.S.INV(RAND()))</f>
        <v/>
      </c>
    </row>
    <row r="1361">
      <c r="F1361">
        <f>F1360+1</f>
        <v/>
      </c>
      <c r="G1361" s="92">
        <f>EXP($C$12+$C$8*_xlfn.NORM.S.INV(RAND()))</f>
        <v/>
      </c>
    </row>
    <row r="1362">
      <c r="F1362">
        <f>F1361+1</f>
        <v/>
      </c>
      <c r="G1362" s="92">
        <f>EXP($C$12+$C$8*_xlfn.NORM.S.INV(RAND()))</f>
        <v/>
      </c>
    </row>
    <row r="1363">
      <c r="F1363">
        <f>F1362+1</f>
        <v/>
      </c>
      <c r="G1363" s="92">
        <f>EXP($C$12+$C$8*_xlfn.NORM.S.INV(RAND()))</f>
        <v/>
      </c>
    </row>
    <row r="1364">
      <c r="F1364">
        <f>F1363+1</f>
        <v/>
      </c>
      <c r="G1364" s="92">
        <f>EXP($C$12+$C$8*_xlfn.NORM.S.INV(RAND()))</f>
        <v/>
      </c>
    </row>
    <row r="1365">
      <c r="F1365">
        <f>F1364+1</f>
        <v/>
      </c>
      <c r="G1365" s="92">
        <f>EXP($C$12+$C$8*_xlfn.NORM.S.INV(RAND()))</f>
        <v/>
      </c>
    </row>
    <row r="1366">
      <c r="F1366">
        <f>F1365+1</f>
        <v/>
      </c>
      <c r="G1366" s="92">
        <f>EXP($C$12+$C$8*_xlfn.NORM.S.INV(RAND()))</f>
        <v/>
      </c>
    </row>
    <row r="1367">
      <c r="F1367">
        <f>F1366+1</f>
        <v/>
      </c>
      <c r="G1367" s="92">
        <f>EXP($C$12+$C$8*_xlfn.NORM.S.INV(RAND()))</f>
        <v/>
      </c>
    </row>
    <row r="1368">
      <c r="F1368">
        <f>F1367+1</f>
        <v/>
      </c>
      <c r="G1368" s="92">
        <f>EXP($C$12+$C$8*_xlfn.NORM.S.INV(RAND()))</f>
        <v/>
      </c>
    </row>
    <row r="1369">
      <c r="F1369">
        <f>F1368+1</f>
        <v/>
      </c>
      <c r="G1369" s="92">
        <f>EXP($C$12+$C$8*_xlfn.NORM.S.INV(RAND()))</f>
        <v/>
      </c>
    </row>
    <row r="1370">
      <c r="F1370">
        <f>F1369+1</f>
        <v/>
      </c>
      <c r="G1370" s="92">
        <f>EXP($C$12+$C$8*_xlfn.NORM.S.INV(RAND()))</f>
        <v/>
      </c>
    </row>
    <row r="1371">
      <c r="F1371">
        <f>F1370+1</f>
        <v/>
      </c>
      <c r="G1371" s="92">
        <f>EXP($C$12+$C$8*_xlfn.NORM.S.INV(RAND()))</f>
        <v/>
      </c>
    </row>
    <row r="1372">
      <c r="F1372">
        <f>F1371+1</f>
        <v/>
      </c>
      <c r="G1372" s="92">
        <f>EXP($C$12+$C$8*_xlfn.NORM.S.INV(RAND()))</f>
        <v/>
      </c>
    </row>
    <row r="1373">
      <c r="F1373">
        <f>F1372+1</f>
        <v/>
      </c>
      <c r="G1373" s="92">
        <f>EXP($C$12+$C$8*_xlfn.NORM.S.INV(RAND()))</f>
        <v/>
      </c>
    </row>
    <row r="1374">
      <c r="F1374">
        <f>F1373+1</f>
        <v/>
      </c>
      <c r="G1374" s="92">
        <f>EXP($C$12+$C$8*_xlfn.NORM.S.INV(RAND()))</f>
        <v/>
      </c>
    </row>
    <row r="1375">
      <c r="F1375">
        <f>F1374+1</f>
        <v/>
      </c>
      <c r="G1375" s="92">
        <f>EXP($C$12+$C$8*_xlfn.NORM.S.INV(RAND()))</f>
        <v/>
      </c>
    </row>
    <row r="1376">
      <c r="F1376">
        <f>F1375+1</f>
        <v/>
      </c>
      <c r="G1376" s="92">
        <f>EXP($C$12+$C$8*_xlfn.NORM.S.INV(RAND()))</f>
        <v/>
      </c>
    </row>
    <row r="1377">
      <c r="F1377">
        <f>F1376+1</f>
        <v/>
      </c>
      <c r="G1377" s="92">
        <f>EXP($C$12+$C$8*_xlfn.NORM.S.INV(RAND()))</f>
        <v/>
      </c>
    </row>
    <row r="1378">
      <c r="F1378">
        <f>F1377+1</f>
        <v/>
      </c>
      <c r="G1378" s="92">
        <f>EXP($C$12+$C$8*_xlfn.NORM.S.INV(RAND()))</f>
        <v/>
      </c>
    </row>
    <row r="1379">
      <c r="F1379">
        <f>F1378+1</f>
        <v/>
      </c>
      <c r="G1379" s="92">
        <f>EXP($C$12+$C$8*_xlfn.NORM.S.INV(RAND()))</f>
        <v/>
      </c>
    </row>
    <row r="1380">
      <c r="F1380">
        <f>F1379+1</f>
        <v/>
      </c>
      <c r="G1380" s="92">
        <f>EXP($C$12+$C$8*_xlfn.NORM.S.INV(RAND()))</f>
        <v/>
      </c>
    </row>
    <row r="1381">
      <c r="F1381">
        <f>F1380+1</f>
        <v/>
      </c>
      <c r="G1381" s="92">
        <f>EXP($C$12+$C$8*_xlfn.NORM.S.INV(RAND()))</f>
        <v/>
      </c>
    </row>
    <row r="1382">
      <c r="F1382">
        <f>F1381+1</f>
        <v/>
      </c>
      <c r="G1382" s="92">
        <f>EXP($C$12+$C$8*_xlfn.NORM.S.INV(RAND()))</f>
        <v/>
      </c>
    </row>
    <row r="1383">
      <c r="F1383">
        <f>F1382+1</f>
        <v/>
      </c>
      <c r="G1383" s="92">
        <f>EXP($C$12+$C$8*_xlfn.NORM.S.INV(RAND()))</f>
        <v/>
      </c>
    </row>
    <row r="1384">
      <c r="F1384">
        <f>F1383+1</f>
        <v/>
      </c>
      <c r="G1384" s="92">
        <f>EXP($C$12+$C$8*_xlfn.NORM.S.INV(RAND()))</f>
        <v/>
      </c>
    </row>
    <row r="1385">
      <c r="F1385">
        <f>F1384+1</f>
        <v/>
      </c>
      <c r="G1385" s="92">
        <f>EXP($C$12+$C$8*_xlfn.NORM.S.INV(RAND()))</f>
        <v/>
      </c>
    </row>
    <row r="1386">
      <c r="F1386">
        <f>F1385+1</f>
        <v/>
      </c>
      <c r="G1386" s="92">
        <f>EXP($C$12+$C$8*_xlfn.NORM.S.INV(RAND()))</f>
        <v/>
      </c>
    </row>
    <row r="1387">
      <c r="F1387">
        <f>F1386+1</f>
        <v/>
      </c>
      <c r="G1387" s="92">
        <f>EXP($C$12+$C$8*_xlfn.NORM.S.INV(RAND()))</f>
        <v/>
      </c>
    </row>
    <row r="1388">
      <c r="F1388">
        <f>F1387+1</f>
        <v/>
      </c>
      <c r="G1388" s="92">
        <f>EXP($C$12+$C$8*_xlfn.NORM.S.INV(RAND()))</f>
        <v/>
      </c>
    </row>
    <row r="1389">
      <c r="F1389">
        <f>F1388+1</f>
        <v/>
      </c>
      <c r="G1389" s="92">
        <f>EXP($C$12+$C$8*_xlfn.NORM.S.INV(RAND()))</f>
        <v/>
      </c>
    </row>
    <row r="1390">
      <c r="F1390">
        <f>F1389+1</f>
        <v/>
      </c>
      <c r="G1390" s="92">
        <f>EXP($C$12+$C$8*_xlfn.NORM.S.INV(RAND()))</f>
        <v/>
      </c>
    </row>
    <row r="1391">
      <c r="F1391">
        <f>F1390+1</f>
        <v/>
      </c>
      <c r="G1391" s="92">
        <f>EXP($C$12+$C$8*_xlfn.NORM.S.INV(RAND()))</f>
        <v/>
      </c>
    </row>
    <row r="1392">
      <c r="F1392">
        <f>F1391+1</f>
        <v/>
      </c>
      <c r="G1392" s="92">
        <f>EXP($C$12+$C$8*_xlfn.NORM.S.INV(RAND()))</f>
        <v/>
      </c>
    </row>
    <row r="1393">
      <c r="F1393">
        <f>F1392+1</f>
        <v/>
      </c>
      <c r="G1393" s="92">
        <f>EXP($C$12+$C$8*_xlfn.NORM.S.INV(RAND()))</f>
        <v/>
      </c>
    </row>
    <row r="1394">
      <c r="F1394">
        <f>F1393+1</f>
        <v/>
      </c>
      <c r="G1394" s="92">
        <f>EXP($C$12+$C$8*_xlfn.NORM.S.INV(RAND()))</f>
        <v/>
      </c>
    </row>
    <row r="1395">
      <c r="F1395">
        <f>F1394+1</f>
        <v/>
      </c>
      <c r="G1395" s="92">
        <f>EXP($C$12+$C$8*_xlfn.NORM.S.INV(RAND()))</f>
        <v/>
      </c>
    </row>
    <row r="1396">
      <c r="F1396">
        <f>F1395+1</f>
        <v/>
      </c>
      <c r="G1396" s="92">
        <f>EXP($C$12+$C$8*_xlfn.NORM.S.INV(RAND()))</f>
        <v/>
      </c>
    </row>
    <row r="1397">
      <c r="F1397">
        <f>F1396+1</f>
        <v/>
      </c>
      <c r="G1397" s="92">
        <f>EXP($C$12+$C$8*_xlfn.NORM.S.INV(RAND()))</f>
        <v/>
      </c>
    </row>
    <row r="1398">
      <c r="F1398">
        <f>F1397+1</f>
        <v/>
      </c>
      <c r="G1398" s="92">
        <f>EXP($C$12+$C$8*_xlfn.NORM.S.INV(RAND()))</f>
        <v/>
      </c>
    </row>
    <row r="1399">
      <c r="F1399">
        <f>F1398+1</f>
        <v/>
      </c>
      <c r="G1399" s="92">
        <f>EXP($C$12+$C$8*_xlfn.NORM.S.INV(RAND()))</f>
        <v/>
      </c>
    </row>
    <row r="1400">
      <c r="F1400">
        <f>F1399+1</f>
        <v/>
      </c>
      <c r="G1400" s="92">
        <f>EXP($C$12+$C$8*_xlfn.NORM.S.INV(RAND()))</f>
        <v/>
      </c>
    </row>
    <row r="1401">
      <c r="F1401">
        <f>F1400+1</f>
        <v/>
      </c>
      <c r="G1401" s="92">
        <f>EXP($C$12+$C$8*_xlfn.NORM.S.INV(RAND()))</f>
        <v/>
      </c>
    </row>
    <row r="1402">
      <c r="F1402">
        <f>F1401+1</f>
        <v/>
      </c>
      <c r="G1402" s="92">
        <f>EXP($C$12+$C$8*_xlfn.NORM.S.INV(RAND()))</f>
        <v/>
      </c>
    </row>
    <row r="1403">
      <c r="F1403">
        <f>F1402+1</f>
        <v/>
      </c>
      <c r="G1403" s="92">
        <f>EXP($C$12+$C$8*_xlfn.NORM.S.INV(RAND()))</f>
        <v/>
      </c>
    </row>
    <row r="1404">
      <c r="F1404">
        <f>F1403+1</f>
        <v/>
      </c>
      <c r="G1404" s="92">
        <f>EXP($C$12+$C$8*_xlfn.NORM.S.INV(RAND()))</f>
        <v/>
      </c>
    </row>
    <row r="1405">
      <c r="F1405">
        <f>F1404+1</f>
        <v/>
      </c>
      <c r="G1405" s="92">
        <f>EXP($C$12+$C$8*_xlfn.NORM.S.INV(RAND()))</f>
        <v/>
      </c>
    </row>
    <row r="1406">
      <c r="F1406">
        <f>F1405+1</f>
        <v/>
      </c>
      <c r="G1406" s="92">
        <f>EXP($C$12+$C$8*_xlfn.NORM.S.INV(RAND()))</f>
        <v/>
      </c>
    </row>
    <row r="1407">
      <c r="F1407">
        <f>F1406+1</f>
        <v/>
      </c>
      <c r="G1407" s="92">
        <f>EXP($C$12+$C$8*_xlfn.NORM.S.INV(RAND()))</f>
        <v/>
      </c>
    </row>
    <row r="1408">
      <c r="F1408">
        <f>F1407+1</f>
        <v/>
      </c>
      <c r="G1408" s="92">
        <f>EXP($C$12+$C$8*_xlfn.NORM.S.INV(RAND()))</f>
        <v/>
      </c>
    </row>
    <row r="1409">
      <c r="F1409">
        <f>F1408+1</f>
        <v/>
      </c>
      <c r="G1409" s="92">
        <f>EXP($C$12+$C$8*_xlfn.NORM.S.INV(RAND()))</f>
        <v/>
      </c>
    </row>
    <row r="1410">
      <c r="F1410">
        <f>F1409+1</f>
        <v/>
      </c>
      <c r="G1410" s="92">
        <f>EXP($C$12+$C$8*_xlfn.NORM.S.INV(RAND()))</f>
        <v/>
      </c>
    </row>
    <row r="1411">
      <c r="F1411">
        <f>F1410+1</f>
        <v/>
      </c>
      <c r="G1411" s="92">
        <f>EXP($C$12+$C$8*_xlfn.NORM.S.INV(RAND()))</f>
        <v/>
      </c>
    </row>
    <row r="1412">
      <c r="F1412">
        <f>F1411+1</f>
        <v/>
      </c>
      <c r="G1412" s="92">
        <f>EXP($C$12+$C$8*_xlfn.NORM.S.INV(RAND()))</f>
        <v/>
      </c>
    </row>
    <row r="1413">
      <c r="F1413">
        <f>F1412+1</f>
        <v/>
      </c>
      <c r="G1413" s="92">
        <f>EXP($C$12+$C$8*_xlfn.NORM.S.INV(RAND()))</f>
        <v/>
      </c>
    </row>
    <row r="1414">
      <c r="F1414">
        <f>F1413+1</f>
        <v/>
      </c>
      <c r="G1414" s="92">
        <f>EXP($C$12+$C$8*_xlfn.NORM.S.INV(RAND()))</f>
        <v/>
      </c>
    </row>
    <row r="1415">
      <c r="F1415">
        <f>F1414+1</f>
        <v/>
      </c>
      <c r="G1415" s="92">
        <f>EXP($C$12+$C$8*_xlfn.NORM.S.INV(RAND()))</f>
        <v/>
      </c>
    </row>
    <row r="1416">
      <c r="F1416">
        <f>F1415+1</f>
        <v/>
      </c>
      <c r="G1416" s="92">
        <f>EXP($C$12+$C$8*_xlfn.NORM.S.INV(RAND()))</f>
        <v/>
      </c>
    </row>
    <row r="1417">
      <c r="F1417">
        <f>F1416+1</f>
        <v/>
      </c>
      <c r="G1417" s="92">
        <f>EXP($C$12+$C$8*_xlfn.NORM.S.INV(RAND()))</f>
        <v/>
      </c>
    </row>
    <row r="1418">
      <c r="F1418">
        <f>F1417+1</f>
        <v/>
      </c>
      <c r="G1418" s="92">
        <f>EXP($C$12+$C$8*_xlfn.NORM.S.INV(RAND()))</f>
        <v/>
      </c>
    </row>
    <row r="1419">
      <c r="F1419">
        <f>F1418+1</f>
        <v/>
      </c>
      <c r="G1419" s="92">
        <f>EXP($C$12+$C$8*_xlfn.NORM.S.INV(RAND()))</f>
        <v/>
      </c>
    </row>
    <row r="1420">
      <c r="F1420">
        <f>F1419+1</f>
        <v/>
      </c>
      <c r="G1420" s="92">
        <f>EXP($C$12+$C$8*_xlfn.NORM.S.INV(RAND()))</f>
        <v/>
      </c>
    </row>
    <row r="1421">
      <c r="F1421">
        <f>F1420+1</f>
        <v/>
      </c>
      <c r="G1421" s="92">
        <f>EXP($C$12+$C$8*_xlfn.NORM.S.INV(RAND()))</f>
        <v/>
      </c>
    </row>
    <row r="1422">
      <c r="F1422">
        <f>F1421+1</f>
        <v/>
      </c>
      <c r="G1422" s="92">
        <f>EXP($C$12+$C$8*_xlfn.NORM.S.INV(RAND()))</f>
        <v/>
      </c>
    </row>
    <row r="1423">
      <c r="F1423">
        <f>F1422+1</f>
        <v/>
      </c>
      <c r="G1423" s="92">
        <f>EXP($C$12+$C$8*_xlfn.NORM.S.INV(RAND()))</f>
        <v/>
      </c>
    </row>
    <row r="1424">
      <c r="F1424">
        <f>F1423+1</f>
        <v/>
      </c>
      <c r="G1424" s="92">
        <f>EXP($C$12+$C$8*_xlfn.NORM.S.INV(RAND()))</f>
        <v/>
      </c>
    </row>
    <row r="1425">
      <c r="F1425">
        <f>F1424+1</f>
        <v/>
      </c>
      <c r="G1425" s="92">
        <f>EXP($C$12+$C$8*_xlfn.NORM.S.INV(RAND()))</f>
        <v/>
      </c>
    </row>
    <row r="1426">
      <c r="F1426">
        <f>F1425+1</f>
        <v/>
      </c>
      <c r="G1426" s="92">
        <f>EXP($C$12+$C$8*_xlfn.NORM.S.INV(RAND()))</f>
        <v/>
      </c>
    </row>
    <row r="1427">
      <c r="F1427">
        <f>F1426+1</f>
        <v/>
      </c>
      <c r="G1427" s="92">
        <f>EXP($C$12+$C$8*_xlfn.NORM.S.INV(RAND()))</f>
        <v/>
      </c>
    </row>
    <row r="1428">
      <c r="F1428">
        <f>F1427+1</f>
        <v/>
      </c>
      <c r="G1428" s="92">
        <f>EXP($C$12+$C$8*_xlfn.NORM.S.INV(RAND()))</f>
        <v/>
      </c>
    </row>
    <row r="1429">
      <c r="F1429">
        <f>F1428+1</f>
        <v/>
      </c>
      <c r="G1429" s="92">
        <f>EXP($C$12+$C$8*_xlfn.NORM.S.INV(RAND()))</f>
        <v/>
      </c>
    </row>
    <row r="1430">
      <c r="F1430">
        <f>F1429+1</f>
        <v/>
      </c>
      <c r="G1430" s="92">
        <f>EXP($C$12+$C$8*_xlfn.NORM.S.INV(RAND()))</f>
        <v/>
      </c>
    </row>
    <row r="1431">
      <c r="F1431">
        <f>F1430+1</f>
        <v/>
      </c>
      <c r="G1431" s="92">
        <f>EXP($C$12+$C$8*_xlfn.NORM.S.INV(RAND()))</f>
        <v/>
      </c>
    </row>
    <row r="1432">
      <c r="F1432">
        <f>F1431+1</f>
        <v/>
      </c>
      <c r="G1432" s="92">
        <f>EXP($C$12+$C$8*_xlfn.NORM.S.INV(RAND()))</f>
        <v/>
      </c>
    </row>
    <row r="1433">
      <c r="F1433">
        <f>F1432+1</f>
        <v/>
      </c>
      <c r="G1433" s="92">
        <f>EXP($C$12+$C$8*_xlfn.NORM.S.INV(RAND()))</f>
        <v/>
      </c>
    </row>
    <row r="1434">
      <c r="F1434">
        <f>F1433+1</f>
        <v/>
      </c>
      <c r="G1434" s="92">
        <f>EXP($C$12+$C$8*_xlfn.NORM.S.INV(RAND()))</f>
        <v/>
      </c>
    </row>
    <row r="1435">
      <c r="F1435">
        <f>F1434+1</f>
        <v/>
      </c>
      <c r="G1435" s="92">
        <f>EXP($C$12+$C$8*_xlfn.NORM.S.INV(RAND()))</f>
        <v/>
      </c>
    </row>
    <row r="1436">
      <c r="F1436">
        <f>F1435+1</f>
        <v/>
      </c>
      <c r="G1436" s="92">
        <f>EXP($C$12+$C$8*_xlfn.NORM.S.INV(RAND()))</f>
        <v/>
      </c>
    </row>
    <row r="1437">
      <c r="F1437">
        <f>F1436+1</f>
        <v/>
      </c>
      <c r="G1437" s="92">
        <f>EXP($C$12+$C$8*_xlfn.NORM.S.INV(RAND()))</f>
        <v/>
      </c>
    </row>
    <row r="1438">
      <c r="F1438">
        <f>F1437+1</f>
        <v/>
      </c>
      <c r="G1438" s="92">
        <f>EXP($C$12+$C$8*_xlfn.NORM.S.INV(RAND()))</f>
        <v/>
      </c>
    </row>
    <row r="1439">
      <c r="F1439">
        <f>F1438+1</f>
        <v/>
      </c>
      <c r="G1439" s="92">
        <f>EXP($C$12+$C$8*_xlfn.NORM.S.INV(RAND()))</f>
        <v/>
      </c>
    </row>
    <row r="1440">
      <c r="F1440">
        <f>F1439+1</f>
        <v/>
      </c>
      <c r="G1440" s="92">
        <f>EXP($C$12+$C$8*_xlfn.NORM.S.INV(RAND()))</f>
        <v/>
      </c>
    </row>
    <row r="1441">
      <c r="F1441">
        <f>F1440+1</f>
        <v/>
      </c>
      <c r="G1441" s="92">
        <f>EXP($C$12+$C$8*_xlfn.NORM.S.INV(RAND()))</f>
        <v/>
      </c>
    </row>
    <row r="1442">
      <c r="F1442">
        <f>F1441+1</f>
        <v/>
      </c>
      <c r="G1442" s="92">
        <f>EXP($C$12+$C$8*_xlfn.NORM.S.INV(RAND()))</f>
        <v/>
      </c>
    </row>
    <row r="1443">
      <c r="F1443">
        <f>F1442+1</f>
        <v/>
      </c>
      <c r="G1443" s="92">
        <f>EXP($C$12+$C$8*_xlfn.NORM.S.INV(RAND()))</f>
        <v/>
      </c>
    </row>
    <row r="1444">
      <c r="F1444">
        <f>F1443+1</f>
        <v/>
      </c>
      <c r="G1444" s="92">
        <f>EXP($C$12+$C$8*_xlfn.NORM.S.INV(RAND()))</f>
        <v/>
      </c>
    </row>
    <row r="1445">
      <c r="F1445">
        <f>F1444+1</f>
        <v/>
      </c>
      <c r="G1445" s="92">
        <f>EXP($C$12+$C$8*_xlfn.NORM.S.INV(RAND()))</f>
        <v/>
      </c>
    </row>
    <row r="1446">
      <c r="F1446">
        <f>F1445+1</f>
        <v/>
      </c>
      <c r="G1446" s="92">
        <f>EXP($C$12+$C$8*_xlfn.NORM.S.INV(RAND()))</f>
        <v/>
      </c>
    </row>
    <row r="1447">
      <c r="F1447">
        <f>F1446+1</f>
        <v/>
      </c>
      <c r="G1447" s="92">
        <f>EXP($C$12+$C$8*_xlfn.NORM.S.INV(RAND()))</f>
        <v/>
      </c>
    </row>
    <row r="1448">
      <c r="F1448">
        <f>F1447+1</f>
        <v/>
      </c>
      <c r="G1448" s="92">
        <f>EXP($C$12+$C$8*_xlfn.NORM.S.INV(RAND()))</f>
        <v/>
      </c>
    </row>
    <row r="1449">
      <c r="F1449">
        <f>F1448+1</f>
        <v/>
      </c>
      <c r="G1449" s="92">
        <f>EXP($C$12+$C$8*_xlfn.NORM.S.INV(RAND()))</f>
        <v/>
      </c>
    </row>
    <row r="1450">
      <c r="F1450">
        <f>F1449+1</f>
        <v/>
      </c>
      <c r="G1450" s="92">
        <f>EXP($C$12+$C$8*_xlfn.NORM.S.INV(RAND()))</f>
        <v/>
      </c>
    </row>
    <row r="1451">
      <c r="F1451">
        <f>F1450+1</f>
        <v/>
      </c>
      <c r="G1451" s="92">
        <f>EXP($C$12+$C$8*_xlfn.NORM.S.INV(RAND()))</f>
        <v/>
      </c>
    </row>
    <row r="1452">
      <c r="F1452">
        <f>F1451+1</f>
        <v/>
      </c>
      <c r="G1452" s="92">
        <f>EXP($C$12+$C$8*_xlfn.NORM.S.INV(RAND()))</f>
        <v/>
      </c>
    </row>
    <row r="1453">
      <c r="F1453">
        <f>F1452+1</f>
        <v/>
      </c>
      <c r="G1453" s="92">
        <f>EXP($C$12+$C$8*_xlfn.NORM.S.INV(RAND()))</f>
        <v/>
      </c>
    </row>
    <row r="1454">
      <c r="F1454">
        <f>F1453+1</f>
        <v/>
      </c>
      <c r="G1454" s="92">
        <f>EXP($C$12+$C$8*_xlfn.NORM.S.INV(RAND()))</f>
        <v/>
      </c>
    </row>
    <row r="1455">
      <c r="F1455">
        <f>F1454+1</f>
        <v/>
      </c>
      <c r="G1455" s="92">
        <f>EXP($C$12+$C$8*_xlfn.NORM.S.INV(RAND()))</f>
        <v/>
      </c>
    </row>
    <row r="1456">
      <c r="F1456">
        <f>F1455+1</f>
        <v/>
      </c>
      <c r="G1456" s="92">
        <f>EXP($C$12+$C$8*_xlfn.NORM.S.INV(RAND()))</f>
        <v/>
      </c>
    </row>
    <row r="1457">
      <c r="F1457">
        <f>F1456+1</f>
        <v/>
      </c>
      <c r="G1457" s="92">
        <f>EXP($C$12+$C$8*_xlfn.NORM.S.INV(RAND()))</f>
        <v/>
      </c>
    </row>
    <row r="1458">
      <c r="F1458">
        <f>F1457+1</f>
        <v/>
      </c>
      <c r="G1458" s="92">
        <f>EXP($C$12+$C$8*_xlfn.NORM.S.INV(RAND()))</f>
        <v/>
      </c>
    </row>
    <row r="1459">
      <c r="F1459">
        <f>F1458+1</f>
        <v/>
      </c>
      <c r="G1459" s="92">
        <f>EXP($C$12+$C$8*_xlfn.NORM.S.INV(RAND()))</f>
        <v/>
      </c>
    </row>
    <row r="1460">
      <c r="F1460">
        <f>F1459+1</f>
        <v/>
      </c>
      <c r="G1460" s="92">
        <f>EXP($C$12+$C$8*_xlfn.NORM.S.INV(RAND()))</f>
        <v/>
      </c>
    </row>
    <row r="1461">
      <c r="F1461">
        <f>F1460+1</f>
        <v/>
      </c>
      <c r="G1461" s="92">
        <f>EXP($C$12+$C$8*_xlfn.NORM.S.INV(RAND()))</f>
        <v/>
      </c>
    </row>
    <row r="1462">
      <c r="F1462">
        <f>F1461+1</f>
        <v/>
      </c>
      <c r="G1462" s="92">
        <f>EXP($C$12+$C$8*_xlfn.NORM.S.INV(RAND()))</f>
        <v/>
      </c>
    </row>
    <row r="1463">
      <c r="F1463">
        <f>F1462+1</f>
        <v/>
      </c>
      <c r="G1463" s="92">
        <f>EXP($C$12+$C$8*_xlfn.NORM.S.INV(RAND()))</f>
        <v/>
      </c>
    </row>
    <row r="1464">
      <c r="F1464">
        <f>F1463+1</f>
        <v/>
      </c>
      <c r="G1464" s="92">
        <f>EXP($C$12+$C$8*_xlfn.NORM.S.INV(RAND()))</f>
        <v/>
      </c>
    </row>
    <row r="1465">
      <c r="F1465">
        <f>F1464+1</f>
        <v/>
      </c>
      <c r="G1465" s="92">
        <f>EXP($C$12+$C$8*_xlfn.NORM.S.INV(RAND()))</f>
        <v/>
      </c>
    </row>
    <row r="1466">
      <c r="F1466">
        <f>F1465+1</f>
        <v/>
      </c>
      <c r="G1466" s="92">
        <f>EXP($C$12+$C$8*_xlfn.NORM.S.INV(RAND()))</f>
        <v/>
      </c>
    </row>
    <row r="1467">
      <c r="F1467">
        <f>F1466+1</f>
        <v/>
      </c>
      <c r="G1467" s="92">
        <f>EXP($C$12+$C$8*_xlfn.NORM.S.INV(RAND()))</f>
        <v/>
      </c>
    </row>
    <row r="1468">
      <c r="F1468">
        <f>F1467+1</f>
        <v/>
      </c>
      <c r="G1468" s="92">
        <f>EXP($C$12+$C$8*_xlfn.NORM.S.INV(RAND()))</f>
        <v/>
      </c>
    </row>
    <row r="1469">
      <c r="F1469">
        <f>F1468+1</f>
        <v/>
      </c>
      <c r="G1469" s="92">
        <f>EXP($C$12+$C$8*_xlfn.NORM.S.INV(RAND()))</f>
        <v/>
      </c>
    </row>
    <row r="1470">
      <c r="F1470">
        <f>F1469+1</f>
        <v/>
      </c>
      <c r="G1470" s="92">
        <f>EXP($C$12+$C$8*_xlfn.NORM.S.INV(RAND()))</f>
        <v/>
      </c>
    </row>
    <row r="1471">
      <c r="F1471">
        <f>F1470+1</f>
        <v/>
      </c>
      <c r="G1471" s="92">
        <f>EXP($C$12+$C$8*_xlfn.NORM.S.INV(RAND()))</f>
        <v/>
      </c>
    </row>
    <row r="1472">
      <c r="F1472">
        <f>F1471+1</f>
        <v/>
      </c>
      <c r="G1472" s="92">
        <f>EXP($C$12+$C$8*_xlfn.NORM.S.INV(RAND()))</f>
        <v/>
      </c>
    </row>
    <row r="1473">
      <c r="F1473">
        <f>F1472+1</f>
        <v/>
      </c>
      <c r="G1473" s="92">
        <f>EXP($C$12+$C$8*_xlfn.NORM.S.INV(RAND()))</f>
        <v/>
      </c>
    </row>
    <row r="1474">
      <c r="F1474">
        <f>F1473+1</f>
        <v/>
      </c>
      <c r="G1474" s="92">
        <f>EXP($C$12+$C$8*_xlfn.NORM.S.INV(RAND()))</f>
        <v/>
      </c>
    </row>
    <row r="1475">
      <c r="F1475">
        <f>F1474+1</f>
        <v/>
      </c>
      <c r="G1475" s="92">
        <f>EXP($C$12+$C$8*_xlfn.NORM.S.INV(RAND()))</f>
        <v/>
      </c>
    </row>
    <row r="1476">
      <c r="F1476">
        <f>F1475+1</f>
        <v/>
      </c>
      <c r="G1476" s="92">
        <f>EXP($C$12+$C$8*_xlfn.NORM.S.INV(RAND()))</f>
        <v/>
      </c>
    </row>
    <row r="1477">
      <c r="F1477">
        <f>F1476+1</f>
        <v/>
      </c>
      <c r="G1477" s="92">
        <f>EXP($C$12+$C$8*_xlfn.NORM.S.INV(RAND()))</f>
        <v/>
      </c>
    </row>
    <row r="1478">
      <c r="F1478">
        <f>F1477+1</f>
        <v/>
      </c>
      <c r="G1478" s="92">
        <f>EXP($C$12+$C$8*_xlfn.NORM.S.INV(RAND()))</f>
        <v/>
      </c>
    </row>
    <row r="1479">
      <c r="F1479">
        <f>F1478+1</f>
        <v/>
      </c>
      <c r="G1479" s="92">
        <f>EXP($C$12+$C$8*_xlfn.NORM.S.INV(RAND()))</f>
        <v/>
      </c>
    </row>
    <row r="1480">
      <c r="F1480">
        <f>F1479+1</f>
        <v/>
      </c>
      <c r="G1480" s="92">
        <f>EXP($C$12+$C$8*_xlfn.NORM.S.INV(RAND()))</f>
        <v/>
      </c>
    </row>
    <row r="1481">
      <c r="F1481">
        <f>F1480+1</f>
        <v/>
      </c>
      <c r="G1481" s="92">
        <f>EXP($C$12+$C$8*_xlfn.NORM.S.INV(RAND()))</f>
        <v/>
      </c>
    </row>
    <row r="1482">
      <c r="F1482">
        <f>F1481+1</f>
        <v/>
      </c>
      <c r="G1482" s="92">
        <f>EXP($C$12+$C$8*_xlfn.NORM.S.INV(RAND()))</f>
        <v/>
      </c>
    </row>
    <row r="1483">
      <c r="F1483">
        <f>F1482+1</f>
        <v/>
      </c>
      <c r="G1483" s="92">
        <f>EXP($C$12+$C$8*_xlfn.NORM.S.INV(RAND()))</f>
        <v/>
      </c>
    </row>
    <row r="1484">
      <c r="F1484">
        <f>F1483+1</f>
        <v/>
      </c>
      <c r="G1484" s="92">
        <f>EXP($C$12+$C$8*_xlfn.NORM.S.INV(RAND()))</f>
        <v/>
      </c>
    </row>
    <row r="1485">
      <c r="F1485">
        <f>F1484+1</f>
        <v/>
      </c>
      <c r="G1485" s="92">
        <f>EXP($C$12+$C$8*_xlfn.NORM.S.INV(RAND()))</f>
        <v/>
      </c>
    </row>
    <row r="1486">
      <c r="F1486">
        <f>F1485+1</f>
        <v/>
      </c>
      <c r="G1486" s="92">
        <f>EXP($C$12+$C$8*_xlfn.NORM.S.INV(RAND()))</f>
        <v/>
      </c>
    </row>
    <row r="1487">
      <c r="F1487">
        <f>F1486+1</f>
        <v/>
      </c>
      <c r="G1487" s="92">
        <f>EXP($C$12+$C$8*_xlfn.NORM.S.INV(RAND()))</f>
        <v/>
      </c>
    </row>
    <row r="1488">
      <c r="F1488">
        <f>F1487+1</f>
        <v/>
      </c>
      <c r="G1488" s="92">
        <f>EXP($C$12+$C$8*_xlfn.NORM.S.INV(RAND()))</f>
        <v/>
      </c>
    </row>
    <row r="1489">
      <c r="F1489">
        <f>F1488+1</f>
        <v/>
      </c>
      <c r="G1489" s="92">
        <f>EXP($C$12+$C$8*_xlfn.NORM.S.INV(RAND()))</f>
        <v/>
      </c>
    </row>
    <row r="1490">
      <c r="F1490">
        <f>F1489+1</f>
        <v/>
      </c>
      <c r="G1490" s="92">
        <f>EXP($C$12+$C$8*_xlfn.NORM.S.INV(RAND()))</f>
        <v/>
      </c>
    </row>
    <row r="1491">
      <c r="F1491">
        <f>F1490+1</f>
        <v/>
      </c>
      <c r="G1491" s="92">
        <f>EXP($C$12+$C$8*_xlfn.NORM.S.INV(RAND()))</f>
        <v/>
      </c>
    </row>
    <row r="1492">
      <c r="F1492">
        <f>F1491+1</f>
        <v/>
      </c>
      <c r="G1492" s="92">
        <f>EXP($C$12+$C$8*_xlfn.NORM.S.INV(RAND()))</f>
        <v/>
      </c>
    </row>
    <row r="1493">
      <c r="F1493">
        <f>F1492+1</f>
        <v/>
      </c>
      <c r="G1493" s="92">
        <f>EXP($C$12+$C$8*_xlfn.NORM.S.INV(RAND()))</f>
        <v/>
      </c>
    </row>
    <row r="1494">
      <c r="F1494">
        <f>F1493+1</f>
        <v/>
      </c>
      <c r="G1494" s="92">
        <f>EXP($C$12+$C$8*_xlfn.NORM.S.INV(RAND()))</f>
        <v/>
      </c>
    </row>
    <row r="1495">
      <c r="F1495">
        <f>F1494+1</f>
        <v/>
      </c>
      <c r="G1495" s="92">
        <f>EXP($C$12+$C$8*_xlfn.NORM.S.INV(RAND()))</f>
        <v/>
      </c>
    </row>
    <row r="1496">
      <c r="F1496">
        <f>F1495+1</f>
        <v/>
      </c>
      <c r="G1496" s="92">
        <f>EXP($C$12+$C$8*_xlfn.NORM.S.INV(RAND()))</f>
        <v/>
      </c>
    </row>
    <row r="1497">
      <c r="F1497">
        <f>F1496+1</f>
        <v/>
      </c>
      <c r="G1497" s="92">
        <f>EXP($C$12+$C$8*_xlfn.NORM.S.INV(RAND()))</f>
        <v/>
      </c>
    </row>
    <row r="1498">
      <c r="F1498">
        <f>F1497+1</f>
        <v/>
      </c>
      <c r="G1498" s="92">
        <f>EXP($C$12+$C$8*_xlfn.NORM.S.INV(RAND()))</f>
        <v/>
      </c>
    </row>
    <row r="1499">
      <c r="F1499">
        <f>F1498+1</f>
        <v/>
      </c>
      <c r="G1499" s="92">
        <f>EXP($C$12+$C$8*_xlfn.NORM.S.INV(RAND()))</f>
        <v/>
      </c>
    </row>
    <row r="1500">
      <c r="F1500">
        <f>F1499+1</f>
        <v/>
      </c>
      <c r="G1500" s="92">
        <f>EXP($C$12+$C$8*_xlfn.NORM.S.INV(RAND()))</f>
        <v/>
      </c>
    </row>
    <row r="1501">
      <c r="F1501">
        <f>F1500+1</f>
        <v/>
      </c>
      <c r="G1501" s="92">
        <f>EXP($C$12+$C$8*_xlfn.NORM.S.INV(RAND()))</f>
        <v/>
      </c>
    </row>
    <row r="1502">
      <c r="F1502">
        <f>F1501+1</f>
        <v/>
      </c>
      <c r="G1502" s="92">
        <f>EXP($C$12+$C$8*_xlfn.NORM.S.INV(RAND()))</f>
        <v/>
      </c>
    </row>
    <row r="1503">
      <c r="F1503">
        <f>F1502+1</f>
        <v/>
      </c>
      <c r="G1503" s="92">
        <f>EXP($C$12+$C$8*_xlfn.NORM.S.INV(RAND()))</f>
        <v/>
      </c>
    </row>
    <row r="1504">
      <c r="F1504">
        <f>F1503+1</f>
        <v/>
      </c>
      <c r="G1504" s="92">
        <f>EXP($C$12+$C$8*_xlfn.NORM.S.INV(RAND()))</f>
        <v/>
      </c>
    </row>
    <row r="1505">
      <c r="F1505">
        <f>F1504+1</f>
        <v/>
      </c>
      <c r="G1505" s="92">
        <f>EXP($C$12+$C$8*_xlfn.NORM.S.INV(RAND()))</f>
        <v/>
      </c>
    </row>
    <row r="1506">
      <c r="F1506">
        <f>F1505+1</f>
        <v/>
      </c>
      <c r="G1506" s="92">
        <f>EXP($C$12+$C$8*_xlfn.NORM.S.INV(RAND()))</f>
        <v/>
      </c>
    </row>
    <row r="1507">
      <c r="F1507">
        <f>F1506+1</f>
        <v/>
      </c>
      <c r="G1507" s="92">
        <f>EXP($C$12+$C$8*_xlfn.NORM.S.INV(RAND()))</f>
        <v/>
      </c>
    </row>
    <row r="1508">
      <c r="F1508">
        <f>F1507+1</f>
        <v/>
      </c>
      <c r="G1508" s="92">
        <f>EXP($C$12+$C$8*_xlfn.NORM.S.INV(RAND()))</f>
        <v/>
      </c>
    </row>
    <row r="1509">
      <c r="F1509">
        <f>F1508+1</f>
        <v/>
      </c>
      <c r="G1509" s="92">
        <f>EXP($C$12+$C$8*_xlfn.NORM.S.INV(RAND()))</f>
        <v/>
      </c>
    </row>
    <row r="1510">
      <c r="F1510">
        <f>F1509+1</f>
        <v/>
      </c>
      <c r="G1510" s="92">
        <f>EXP($C$12+$C$8*_xlfn.NORM.S.INV(RAND()))</f>
        <v/>
      </c>
    </row>
    <row r="1511">
      <c r="F1511">
        <f>F1510+1</f>
        <v/>
      </c>
      <c r="G1511" s="92">
        <f>EXP($C$12+$C$8*_xlfn.NORM.S.INV(RAND()))</f>
        <v/>
      </c>
    </row>
    <row r="1512">
      <c r="F1512">
        <f>F1511+1</f>
        <v/>
      </c>
      <c r="G1512" s="92">
        <f>EXP($C$12+$C$8*_xlfn.NORM.S.INV(RAND()))</f>
        <v/>
      </c>
    </row>
    <row r="1513">
      <c r="F1513">
        <f>F1512+1</f>
        <v/>
      </c>
      <c r="G1513" s="92">
        <f>EXP($C$12+$C$8*_xlfn.NORM.S.INV(RAND()))</f>
        <v/>
      </c>
    </row>
    <row r="1514">
      <c r="F1514">
        <f>F1513+1</f>
        <v/>
      </c>
      <c r="G1514" s="92">
        <f>EXP($C$12+$C$8*_xlfn.NORM.S.INV(RAND()))</f>
        <v/>
      </c>
    </row>
    <row r="1515">
      <c r="F1515">
        <f>F1514+1</f>
        <v/>
      </c>
      <c r="G1515" s="92">
        <f>EXP($C$12+$C$8*_xlfn.NORM.S.INV(RAND()))</f>
        <v/>
      </c>
    </row>
    <row r="1516">
      <c r="F1516">
        <f>F1515+1</f>
        <v/>
      </c>
      <c r="G1516" s="92">
        <f>EXP($C$12+$C$8*_xlfn.NORM.S.INV(RAND()))</f>
        <v/>
      </c>
    </row>
    <row r="1517">
      <c r="F1517">
        <f>F1516+1</f>
        <v/>
      </c>
      <c r="G1517" s="92">
        <f>EXP($C$12+$C$8*_xlfn.NORM.S.INV(RAND()))</f>
        <v/>
      </c>
    </row>
    <row r="1518">
      <c r="F1518">
        <f>F1517+1</f>
        <v/>
      </c>
      <c r="G1518" s="92">
        <f>EXP($C$12+$C$8*_xlfn.NORM.S.INV(RAND()))</f>
        <v/>
      </c>
    </row>
    <row r="1519">
      <c r="F1519">
        <f>F1518+1</f>
        <v/>
      </c>
      <c r="G1519" s="92">
        <f>EXP($C$12+$C$8*_xlfn.NORM.S.INV(RAND()))</f>
        <v/>
      </c>
    </row>
    <row r="1520">
      <c r="F1520">
        <f>F1519+1</f>
        <v/>
      </c>
      <c r="G1520" s="92">
        <f>EXP($C$12+$C$8*_xlfn.NORM.S.INV(RAND()))</f>
        <v/>
      </c>
    </row>
    <row r="1521">
      <c r="F1521">
        <f>F1520+1</f>
        <v/>
      </c>
      <c r="G1521" s="92">
        <f>EXP($C$12+$C$8*_xlfn.NORM.S.INV(RAND()))</f>
        <v/>
      </c>
    </row>
    <row r="1522">
      <c r="F1522">
        <f>F1521+1</f>
        <v/>
      </c>
      <c r="G1522" s="92">
        <f>EXP($C$12+$C$8*_xlfn.NORM.S.INV(RAND()))</f>
        <v/>
      </c>
    </row>
    <row r="1523">
      <c r="F1523">
        <f>F1522+1</f>
        <v/>
      </c>
      <c r="G1523" s="92">
        <f>EXP($C$12+$C$8*_xlfn.NORM.S.INV(RAND()))</f>
        <v/>
      </c>
    </row>
    <row r="1524">
      <c r="F1524">
        <f>F1523+1</f>
        <v/>
      </c>
      <c r="G1524" s="92">
        <f>EXP($C$12+$C$8*_xlfn.NORM.S.INV(RAND()))</f>
        <v/>
      </c>
    </row>
    <row r="1525">
      <c r="F1525">
        <f>F1524+1</f>
        <v/>
      </c>
      <c r="G1525" s="92">
        <f>EXP($C$12+$C$8*_xlfn.NORM.S.INV(RAND()))</f>
        <v/>
      </c>
    </row>
    <row r="1526">
      <c r="F1526">
        <f>F1525+1</f>
        <v/>
      </c>
      <c r="G1526" s="92">
        <f>EXP($C$12+$C$8*_xlfn.NORM.S.INV(RAND()))</f>
        <v/>
      </c>
    </row>
    <row r="1527">
      <c r="F1527">
        <f>F1526+1</f>
        <v/>
      </c>
      <c r="G1527" s="92">
        <f>EXP($C$12+$C$8*_xlfn.NORM.S.INV(RAND()))</f>
        <v/>
      </c>
    </row>
    <row r="1528">
      <c r="F1528">
        <f>F1527+1</f>
        <v/>
      </c>
      <c r="G1528" s="92">
        <f>EXP($C$12+$C$8*_xlfn.NORM.S.INV(RAND()))</f>
        <v/>
      </c>
    </row>
    <row r="1529">
      <c r="F1529">
        <f>F1528+1</f>
        <v/>
      </c>
      <c r="G1529" s="92">
        <f>EXP($C$12+$C$8*_xlfn.NORM.S.INV(RAND()))</f>
        <v/>
      </c>
    </row>
    <row r="1530">
      <c r="F1530">
        <f>F1529+1</f>
        <v/>
      </c>
      <c r="G1530" s="92">
        <f>EXP($C$12+$C$8*_xlfn.NORM.S.INV(RAND()))</f>
        <v/>
      </c>
    </row>
    <row r="1531">
      <c r="F1531">
        <f>F1530+1</f>
        <v/>
      </c>
      <c r="G1531" s="92">
        <f>EXP($C$12+$C$8*_xlfn.NORM.S.INV(RAND()))</f>
        <v/>
      </c>
    </row>
    <row r="1532">
      <c r="F1532">
        <f>F1531+1</f>
        <v/>
      </c>
      <c r="G1532" s="92">
        <f>EXP($C$12+$C$8*_xlfn.NORM.S.INV(RAND()))</f>
        <v/>
      </c>
    </row>
    <row r="1533">
      <c r="F1533">
        <f>F1532+1</f>
        <v/>
      </c>
      <c r="G1533" s="92">
        <f>EXP($C$12+$C$8*_xlfn.NORM.S.INV(RAND()))</f>
        <v/>
      </c>
    </row>
    <row r="1534">
      <c r="F1534">
        <f>F1533+1</f>
        <v/>
      </c>
      <c r="G1534" s="92">
        <f>EXP($C$12+$C$8*_xlfn.NORM.S.INV(RAND()))</f>
        <v/>
      </c>
    </row>
    <row r="1535">
      <c r="F1535">
        <f>F1534+1</f>
        <v/>
      </c>
      <c r="G1535" s="92">
        <f>EXP($C$12+$C$8*_xlfn.NORM.S.INV(RAND()))</f>
        <v/>
      </c>
    </row>
    <row r="1536">
      <c r="F1536">
        <f>F1535+1</f>
        <v/>
      </c>
      <c r="G1536" s="92">
        <f>EXP($C$12+$C$8*_xlfn.NORM.S.INV(RAND()))</f>
        <v/>
      </c>
    </row>
    <row r="1537">
      <c r="F1537">
        <f>F1536+1</f>
        <v/>
      </c>
      <c r="G1537" s="92">
        <f>EXP($C$12+$C$8*_xlfn.NORM.S.INV(RAND()))</f>
        <v/>
      </c>
    </row>
    <row r="1538">
      <c r="F1538">
        <f>F1537+1</f>
        <v/>
      </c>
      <c r="G1538" s="92">
        <f>EXP($C$12+$C$8*_xlfn.NORM.S.INV(RAND()))</f>
        <v/>
      </c>
    </row>
    <row r="1539">
      <c r="F1539">
        <f>F1538+1</f>
        <v/>
      </c>
      <c r="G1539" s="92">
        <f>EXP($C$12+$C$8*_xlfn.NORM.S.INV(RAND()))</f>
        <v/>
      </c>
    </row>
    <row r="1540">
      <c r="F1540">
        <f>F1539+1</f>
        <v/>
      </c>
      <c r="G1540" s="92">
        <f>EXP($C$12+$C$8*_xlfn.NORM.S.INV(RAND()))</f>
        <v/>
      </c>
    </row>
    <row r="1541">
      <c r="F1541">
        <f>F1540+1</f>
        <v/>
      </c>
      <c r="G1541" s="92">
        <f>EXP($C$12+$C$8*_xlfn.NORM.S.INV(RAND()))</f>
        <v/>
      </c>
    </row>
    <row r="1542">
      <c r="F1542">
        <f>F1541+1</f>
        <v/>
      </c>
      <c r="G1542" s="92">
        <f>EXP($C$12+$C$8*_xlfn.NORM.S.INV(RAND()))</f>
        <v/>
      </c>
    </row>
    <row r="1543">
      <c r="F1543">
        <f>F1542+1</f>
        <v/>
      </c>
      <c r="G1543" s="92">
        <f>EXP($C$12+$C$8*_xlfn.NORM.S.INV(RAND()))</f>
        <v/>
      </c>
    </row>
    <row r="1544">
      <c r="F1544">
        <f>F1543+1</f>
        <v/>
      </c>
      <c r="G1544" s="92">
        <f>EXP($C$12+$C$8*_xlfn.NORM.S.INV(RAND()))</f>
        <v/>
      </c>
    </row>
    <row r="1545">
      <c r="F1545">
        <f>F1544+1</f>
        <v/>
      </c>
      <c r="G1545" s="92">
        <f>EXP($C$12+$C$8*_xlfn.NORM.S.INV(RAND()))</f>
        <v/>
      </c>
    </row>
    <row r="1546">
      <c r="F1546">
        <f>F1545+1</f>
        <v/>
      </c>
      <c r="G1546" s="92">
        <f>EXP($C$12+$C$8*_xlfn.NORM.S.INV(RAND()))</f>
        <v/>
      </c>
    </row>
    <row r="1547">
      <c r="F1547">
        <f>F1546+1</f>
        <v/>
      </c>
      <c r="G1547" s="92">
        <f>EXP($C$12+$C$8*_xlfn.NORM.S.INV(RAND()))</f>
        <v/>
      </c>
    </row>
    <row r="1548">
      <c r="F1548">
        <f>F1547+1</f>
        <v/>
      </c>
      <c r="G1548" s="92">
        <f>EXP($C$12+$C$8*_xlfn.NORM.S.INV(RAND()))</f>
        <v/>
      </c>
    </row>
    <row r="1549">
      <c r="F1549">
        <f>F1548+1</f>
        <v/>
      </c>
      <c r="G1549" s="92">
        <f>EXP($C$12+$C$8*_xlfn.NORM.S.INV(RAND()))</f>
        <v/>
      </c>
    </row>
    <row r="1550">
      <c r="F1550">
        <f>F1549+1</f>
        <v/>
      </c>
      <c r="G1550" s="92">
        <f>EXP($C$12+$C$8*_xlfn.NORM.S.INV(RAND()))</f>
        <v/>
      </c>
    </row>
    <row r="1551">
      <c r="F1551">
        <f>F1550+1</f>
        <v/>
      </c>
      <c r="G1551" s="92">
        <f>EXP($C$12+$C$8*_xlfn.NORM.S.INV(RAND()))</f>
        <v/>
      </c>
    </row>
    <row r="1552">
      <c r="F1552">
        <f>F1551+1</f>
        <v/>
      </c>
      <c r="G1552" s="92">
        <f>EXP($C$12+$C$8*_xlfn.NORM.S.INV(RAND()))</f>
        <v/>
      </c>
    </row>
    <row r="1553">
      <c r="F1553">
        <f>F1552+1</f>
        <v/>
      </c>
      <c r="G1553" s="92">
        <f>EXP($C$12+$C$8*_xlfn.NORM.S.INV(RAND()))</f>
        <v/>
      </c>
    </row>
    <row r="1554">
      <c r="F1554">
        <f>F1553+1</f>
        <v/>
      </c>
      <c r="G1554" s="92">
        <f>EXP($C$12+$C$8*_xlfn.NORM.S.INV(RAND()))</f>
        <v/>
      </c>
    </row>
    <row r="1555">
      <c r="F1555">
        <f>F1554+1</f>
        <v/>
      </c>
      <c r="G1555" s="92">
        <f>EXP($C$12+$C$8*_xlfn.NORM.S.INV(RAND()))</f>
        <v/>
      </c>
    </row>
    <row r="1556">
      <c r="F1556">
        <f>F1555+1</f>
        <v/>
      </c>
      <c r="G1556" s="92">
        <f>EXP($C$12+$C$8*_xlfn.NORM.S.INV(RAND()))</f>
        <v/>
      </c>
    </row>
    <row r="1557">
      <c r="F1557">
        <f>F1556+1</f>
        <v/>
      </c>
      <c r="G1557" s="92">
        <f>EXP($C$12+$C$8*_xlfn.NORM.S.INV(RAND()))</f>
        <v/>
      </c>
    </row>
    <row r="1558">
      <c r="F1558">
        <f>F1557+1</f>
        <v/>
      </c>
      <c r="G1558" s="92">
        <f>EXP($C$12+$C$8*_xlfn.NORM.S.INV(RAND()))</f>
        <v/>
      </c>
    </row>
    <row r="1559">
      <c r="F1559">
        <f>F1558+1</f>
        <v/>
      </c>
      <c r="G1559" s="92">
        <f>EXP($C$12+$C$8*_xlfn.NORM.S.INV(RAND()))</f>
        <v/>
      </c>
    </row>
    <row r="1560">
      <c r="F1560">
        <f>F1559+1</f>
        <v/>
      </c>
      <c r="G1560" s="92">
        <f>EXP($C$12+$C$8*_xlfn.NORM.S.INV(RAND()))</f>
        <v/>
      </c>
    </row>
    <row r="1561">
      <c r="F1561">
        <f>F1560+1</f>
        <v/>
      </c>
      <c r="G1561" s="92">
        <f>EXP($C$12+$C$8*_xlfn.NORM.S.INV(RAND()))</f>
        <v/>
      </c>
    </row>
    <row r="1562">
      <c r="F1562">
        <f>F1561+1</f>
        <v/>
      </c>
      <c r="G1562" s="92">
        <f>EXP($C$12+$C$8*_xlfn.NORM.S.INV(RAND()))</f>
        <v/>
      </c>
    </row>
    <row r="1563">
      <c r="F1563">
        <f>F1562+1</f>
        <v/>
      </c>
      <c r="G1563" s="92">
        <f>EXP($C$12+$C$8*_xlfn.NORM.S.INV(RAND()))</f>
        <v/>
      </c>
    </row>
    <row r="1564">
      <c r="F1564">
        <f>F1563+1</f>
        <v/>
      </c>
      <c r="G1564" s="92">
        <f>EXP($C$12+$C$8*_xlfn.NORM.S.INV(RAND()))</f>
        <v/>
      </c>
    </row>
    <row r="1565">
      <c r="F1565">
        <f>F1564+1</f>
        <v/>
      </c>
      <c r="G1565" s="92">
        <f>EXP($C$12+$C$8*_xlfn.NORM.S.INV(RAND()))</f>
        <v/>
      </c>
    </row>
    <row r="1566">
      <c r="F1566">
        <f>F1565+1</f>
        <v/>
      </c>
      <c r="G1566" s="92">
        <f>EXP($C$12+$C$8*_xlfn.NORM.S.INV(RAND()))</f>
        <v/>
      </c>
    </row>
    <row r="1567">
      <c r="F1567">
        <f>F1566+1</f>
        <v/>
      </c>
      <c r="G1567" s="92">
        <f>EXP($C$12+$C$8*_xlfn.NORM.S.INV(RAND()))</f>
        <v/>
      </c>
    </row>
    <row r="1568">
      <c r="F1568">
        <f>F1567+1</f>
        <v/>
      </c>
      <c r="G1568" s="92">
        <f>EXP($C$12+$C$8*_xlfn.NORM.S.INV(RAND()))</f>
        <v/>
      </c>
    </row>
    <row r="1569">
      <c r="F1569">
        <f>F1568+1</f>
        <v/>
      </c>
      <c r="G1569" s="92">
        <f>EXP($C$12+$C$8*_xlfn.NORM.S.INV(RAND()))</f>
        <v/>
      </c>
    </row>
    <row r="1570">
      <c r="F1570">
        <f>F1569+1</f>
        <v/>
      </c>
      <c r="G1570" s="92">
        <f>EXP($C$12+$C$8*_xlfn.NORM.S.INV(RAND()))</f>
        <v/>
      </c>
    </row>
    <row r="1571">
      <c r="F1571">
        <f>F1570+1</f>
        <v/>
      </c>
      <c r="G1571" s="92">
        <f>EXP($C$12+$C$8*_xlfn.NORM.S.INV(RAND()))</f>
        <v/>
      </c>
    </row>
    <row r="1572">
      <c r="F1572">
        <f>F1571+1</f>
        <v/>
      </c>
      <c r="G1572" s="92">
        <f>EXP($C$12+$C$8*_xlfn.NORM.S.INV(RAND()))</f>
        <v/>
      </c>
    </row>
    <row r="1573">
      <c r="F1573">
        <f>F1572+1</f>
        <v/>
      </c>
      <c r="G1573" s="92">
        <f>EXP($C$12+$C$8*_xlfn.NORM.S.INV(RAND()))</f>
        <v/>
      </c>
    </row>
    <row r="1574">
      <c r="F1574">
        <f>F1573+1</f>
        <v/>
      </c>
      <c r="G1574" s="92">
        <f>EXP($C$12+$C$8*_xlfn.NORM.S.INV(RAND()))</f>
        <v/>
      </c>
    </row>
    <row r="1575">
      <c r="F1575">
        <f>F1574+1</f>
        <v/>
      </c>
      <c r="G1575" s="92">
        <f>EXP($C$12+$C$8*_xlfn.NORM.S.INV(RAND()))</f>
        <v/>
      </c>
    </row>
    <row r="1576">
      <c r="F1576">
        <f>F1575+1</f>
        <v/>
      </c>
      <c r="G1576" s="92">
        <f>EXP($C$12+$C$8*_xlfn.NORM.S.INV(RAND()))</f>
        <v/>
      </c>
    </row>
    <row r="1577">
      <c r="F1577">
        <f>F1576+1</f>
        <v/>
      </c>
      <c r="G1577" s="92">
        <f>EXP($C$12+$C$8*_xlfn.NORM.S.INV(RAND()))</f>
        <v/>
      </c>
    </row>
    <row r="1578">
      <c r="F1578">
        <f>F1577+1</f>
        <v/>
      </c>
      <c r="G1578" s="92">
        <f>EXP($C$12+$C$8*_xlfn.NORM.S.INV(RAND()))</f>
        <v/>
      </c>
    </row>
    <row r="1579">
      <c r="F1579">
        <f>F1578+1</f>
        <v/>
      </c>
      <c r="G1579" s="92">
        <f>EXP($C$12+$C$8*_xlfn.NORM.S.INV(RAND()))</f>
        <v/>
      </c>
    </row>
    <row r="1580">
      <c r="F1580">
        <f>F1579+1</f>
        <v/>
      </c>
      <c r="G1580" s="92">
        <f>EXP($C$12+$C$8*_xlfn.NORM.S.INV(RAND()))</f>
        <v/>
      </c>
    </row>
    <row r="1581">
      <c r="F1581">
        <f>F1580+1</f>
        <v/>
      </c>
      <c r="G1581" s="92">
        <f>EXP($C$12+$C$8*_xlfn.NORM.S.INV(RAND()))</f>
        <v/>
      </c>
    </row>
    <row r="1582">
      <c r="F1582">
        <f>F1581+1</f>
        <v/>
      </c>
      <c r="G1582" s="92">
        <f>EXP($C$12+$C$8*_xlfn.NORM.S.INV(RAND()))</f>
        <v/>
      </c>
    </row>
    <row r="1583">
      <c r="F1583">
        <f>F1582+1</f>
        <v/>
      </c>
      <c r="G1583" s="92">
        <f>EXP($C$12+$C$8*_xlfn.NORM.S.INV(RAND()))</f>
        <v/>
      </c>
    </row>
    <row r="1584">
      <c r="F1584">
        <f>F1583+1</f>
        <v/>
      </c>
      <c r="G1584" s="92">
        <f>EXP($C$12+$C$8*_xlfn.NORM.S.INV(RAND()))</f>
        <v/>
      </c>
    </row>
    <row r="1585">
      <c r="F1585">
        <f>F1584+1</f>
        <v/>
      </c>
      <c r="G1585" s="92">
        <f>EXP($C$12+$C$8*_xlfn.NORM.S.INV(RAND()))</f>
        <v/>
      </c>
    </row>
    <row r="1586">
      <c r="F1586">
        <f>F1585+1</f>
        <v/>
      </c>
      <c r="G1586" s="92">
        <f>EXP($C$12+$C$8*_xlfn.NORM.S.INV(RAND()))</f>
        <v/>
      </c>
    </row>
    <row r="1587">
      <c r="F1587">
        <f>F1586+1</f>
        <v/>
      </c>
      <c r="G1587" s="92">
        <f>EXP($C$12+$C$8*_xlfn.NORM.S.INV(RAND()))</f>
        <v/>
      </c>
    </row>
    <row r="1588">
      <c r="F1588">
        <f>F1587+1</f>
        <v/>
      </c>
      <c r="G1588" s="92">
        <f>EXP($C$12+$C$8*_xlfn.NORM.S.INV(RAND()))</f>
        <v/>
      </c>
    </row>
    <row r="1589">
      <c r="F1589">
        <f>F1588+1</f>
        <v/>
      </c>
      <c r="G1589" s="92">
        <f>EXP($C$12+$C$8*_xlfn.NORM.S.INV(RAND()))</f>
        <v/>
      </c>
    </row>
    <row r="1590">
      <c r="F1590">
        <f>F1589+1</f>
        <v/>
      </c>
      <c r="G1590" s="92">
        <f>EXP($C$12+$C$8*_xlfn.NORM.S.INV(RAND()))</f>
        <v/>
      </c>
    </row>
    <row r="1591">
      <c r="F1591">
        <f>F1590+1</f>
        <v/>
      </c>
      <c r="G1591" s="92">
        <f>EXP($C$12+$C$8*_xlfn.NORM.S.INV(RAND()))</f>
        <v/>
      </c>
    </row>
    <row r="1592">
      <c r="F1592">
        <f>F1591+1</f>
        <v/>
      </c>
      <c r="G1592" s="92">
        <f>EXP($C$12+$C$8*_xlfn.NORM.S.INV(RAND()))</f>
        <v/>
      </c>
    </row>
    <row r="1593">
      <c r="F1593">
        <f>F1592+1</f>
        <v/>
      </c>
      <c r="G1593" s="92">
        <f>EXP($C$12+$C$8*_xlfn.NORM.S.INV(RAND()))</f>
        <v/>
      </c>
    </row>
    <row r="1594">
      <c r="F1594">
        <f>F1593+1</f>
        <v/>
      </c>
      <c r="G1594" s="92">
        <f>EXP($C$12+$C$8*_xlfn.NORM.S.INV(RAND()))</f>
        <v/>
      </c>
    </row>
    <row r="1595">
      <c r="F1595">
        <f>F1594+1</f>
        <v/>
      </c>
      <c r="G1595" s="92">
        <f>EXP($C$12+$C$8*_xlfn.NORM.S.INV(RAND()))</f>
        <v/>
      </c>
    </row>
    <row r="1596">
      <c r="F1596">
        <f>F1595+1</f>
        <v/>
      </c>
      <c r="G1596" s="92">
        <f>EXP($C$12+$C$8*_xlfn.NORM.S.INV(RAND()))</f>
        <v/>
      </c>
    </row>
    <row r="1597">
      <c r="F1597">
        <f>F1596+1</f>
        <v/>
      </c>
      <c r="G1597" s="92">
        <f>EXP($C$12+$C$8*_xlfn.NORM.S.INV(RAND()))</f>
        <v/>
      </c>
    </row>
    <row r="1598">
      <c r="F1598">
        <f>F1597+1</f>
        <v/>
      </c>
      <c r="G1598" s="92">
        <f>EXP($C$12+$C$8*_xlfn.NORM.S.INV(RAND()))</f>
        <v/>
      </c>
    </row>
    <row r="1599">
      <c r="F1599">
        <f>F1598+1</f>
        <v/>
      </c>
      <c r="G1599" s="92">
        <f>EXP($C$12+$C$8*_xlfn.NORM.S.INV(RAND()))</f>
        <v/>
      </c>
    </row>
    <row r="1600">
      <c r="F1600">
        <f>F1599+1</f>
        <v/>
      </c>
      <c r="G1600" s="92">
        <f>EXP($C$12+$C$8*_xlfn.NORM.S.INV(RAND()))</f>
        <v/>
      </c>
    </row>
    <row r="1601">
      <c r="F1601">
        <f>F1600+1</f>
        <v/>
      </c>
      <c r="G1601" s="92">
        <f>EXP($C$12+$C$8*_xlfn.NORM.S.INV(RAND()))</f>
        <v/>
      </c>
    </row>
    <row r="1602">
      <c r="F1602">
        <f>F1601+1</f>
        <v/>
      </c>
      <c r="G1602" s="92">
        <f>EXP($C$12+$C$8*_xlfn.NORM.S.INV(RAND()))</f>
        <v/>
      </c>
    </row>
    <row r="1603">
      <c r="F1603">
        <f>F1602+1</f>
        <v/>
      </c>
      <c r="G1603" s="92">
        <f>EXP($C$12+$C$8*_xlfn.NORM.S.INV(RAND()))</f>
        <v/>
      </c>
    </row>
    <row r="1604">
      <c r="F1604">
        <f>F1603+1</f>
        <v/>
      </c>
      <c r="G1604" s="92">
        <f>EXP($C$12+$C$8*_xlfn.NORM.S.INV(RAND()))</f>
        <v/>
      </c>
    </row>
    <row r="1605">
      <c r="F1605">
        <f>F1604+1</f>
        <v/>
      </c>
      <c r="G1605" s="92">
        <f>EXP($C$12+$C$8*_xlfn.NORM.S.INV(RAND()))</f>
        <v/>
      </c>
    </row>
    <row r="1606">
      <c r="F1606">
        <f>F1605+1</f>
        <v/>
      </c>
      <c r="G1606" s="92">
        <f>EXP($C$12+$C$8*_xlfn.NORM.S.INV(RAND()))</f>
        <v/>
      </c>
    </row>
    <row r="1607">
      <c r="F1607">
        <f>F1606+1</f>
        <v/>
      </c>
      <c r="G1607" s="92">
        <f>EXP($C$12+$C$8*_xlfn.NORM.S.INV(RAND()))</f>
        <v/>
      </c>
    </row>
    <row r="1608">
      <c r="F1608">
        <f>F1607+1</f>
        <v/>
      </c>
      <c r="G1608" s="92">
        <f>EXP($C$12+$C$8*_xlfn.NORM.S.INV(RAND()))</f>
        <v/>
      </c>
    </row>
    <row r="1609">
      <c r="F1609">
        <f>F1608+1</f>
        <v/>
      </c>
      <c r="G1609" s="92">
        <f>EXP($C$12+$C$8*_xlfn.NORM.S.INV(RAND()))</f>
        <v/>
      </c>
    </row>
    <row r="1610">
      <c r="F1610">
        <f>F1609+1</f>
        <v/>
      </c>
      <c r="G1610" s="92">
        <f>EXP($C$12+$C$8*_xlfn.NORM.S.INV(RAND()))</f>
        <v/>
      </c>
    </row>
    <row r="1611">
      <c r="F1611">
        <f>F1610+1</f>
        <v/>
      </c>
      <c r="G1611" s="92">
        <f>EXP($C$12+$C$8*_xlfn.NORM.S.INV(RAND()))</f>
        <v/>
      </c>
    </row>
    <row r="1612">
      <c r="F1612">
        <f>F1611+1</f>
        <v/>
      </c>
      <c r="G1612" s="92">
        <f>EXP($C$12+$C$8*_xlfn.NORM.S.INV(RAND()))</f>
        <v/>
      </c>
    </row>
    <row r="1613">
      <c r="F1613">
        <f>F1612+1</f>
        <v/>
      </c>
      <c r="G1613" s="92">
        <f>EXP($C$12+$C$8*_xlfn.NORM.S.INV(RAND()))</f>
        <v/>
      </c>
    </row>
    <row r="1614">
      <c r="F1614">
        <f>F1613+1</f>
        <v/>
      </c>
      <c r="G1614" s="92">
        <f>EXP($C$12+$C$8*_xlfn.NORM.S.INV(RAND()))</f>
        <v/>
      </c>
    </row>
    <row r="1615">
      <c r="F1615">
        <f>F1614+1</f>
        <v/>
      </c>
      <c r="G1615" s="92">
        <f>EXP($C$12+$C$8*_xlfn.NORM.S.INV(RAND()))</f>
        <v/>
      </c>
    </row>
    <row r="1616">
      <c r="F1616">
        <f>F1615+1</f>
        <v/>
      </c>
      <c r="G1616" s="92">
        <f>EXP($C$12+$C$8*_xlfn.NORM.S.INV(RAND()))</f>
        <v/>
      </c>
    </row>
    <row r="1617">
      <c r="F1617">
        <f>F1616+1</f>
        <v/>
      </c>
      <c r="G1617" s="92">
        <f>EXP($C$12+$C$8*_xlfn.NORM.S.INV(RAND()))</f>
        <v/>
      </c>
    </row>
    <row r="1618">
      <c r="F1618">
        <f>F1617+1</f>
        <v/>
      </c>
      <c r="G1618" s="92">
        <f>EXP($C$12+$C$8*_xlfn.NORM.S.INV(RAND()))</f>
        <v/>
      </c>
    </row>
    <row r="1619">
      <c r="F1619">
        <f>F1618+1</f>
        <v/>
      </c>
      <c r="G1619" s="92">
        <f>EXP($C$12+$C$8*_xlfn.NORM.S.INV(RAND()))</f>
        <v/>
      </c>
    </row>
    <row r="1620">
      <c r="F1620">
        <f>F1619+1</f>
        <v/>
      </c>
      <c r="G1620" s="92">
        <f>EXP($C$12+$C$8*_xlfn.NORM.S.INV(RAND()))</f>
        <v/>
      </c>
    </row>
    <row r="1621">
      <c r="F1621">
        <f>F1620+1</f>
        <v/>
      </c>
      <c r="G1621" s="92">
        <f>EXP($C$12+$C$8*_xlfn.NORM.S.INV(RAND()))</f>
        <v/>
      </c>
    </row>
    <row r="1622">
      <c r="F1622">
        <f>F1621+1</f>
        <v/>
      </c>
      <c r="G1622" s="92">
        <f>EXP($C$12+$C$8*_xlfn.NORM.S.INV(RAND()))</f>
        <v/>
      </c>
    </row>
    <row r="1623">
      <c r="F1623">
        <f>F1622+1</f>
        <v/>
      </c>
      <c r="G1623" s="92">
        <f>EXP($C$12+$C$8*_xlfn.NORM.S.INV(RAND()))</f>
        <v/>
      </c>
    </row>
    <row r="1624">
      <c r="F1624">
        <f>F1623+1</f>
        <v/>
      </c>
      <c r="G1624" s="92">
        <f>EXP($C$12+$C$8*_xlfn.NORM.S.INV(RAND()))</f>
        <v/>
      </c>
    </row>
    <row r="1625">
      <c r="F1625">
        <f>F1624+1</f>
        <v/>
      </c>
      <c r="G1625" s="92">
        <f>EXP($C$12+$C$8*_xlfn.NORM.S.INV(RAND()))</f>
        <v/>
      </c>
    </row>
    <row r="1626">
      <c r="F1626">
        <f>F1625+1</f>
        <v/>
      </c>
      <c r="G1626" s="92">
        <f>EXP($C$12+$C$8*_xlfn.NORM.S.INV(RAND()))</f>
        <v/>
      </c>
    </row>
    <row r="1627">
      <c r="F1627">
        <f>F1626+1</f>
        <v/>
      </c>
      <c r="G1627" s="92">
        <f>EXP($C$12+$C$8*_xlfn.NORM.S.INV(RAND()))</f>
        <v/>
      </c>
    </row>
    <row r="1628">
      <c r="F1628">
        <f>F1627+1</f>
        <v/>
      </c>
      <c r="G1628" s="92">
        <f>EXP($C$12+$C$8*_xlfn.NORM.S.INV(RAND()))</f>
        <v/>
      </c>
    </row>
    <row r="1629">
      <c r="F1629">
        <f>F1628+1</f>
        <v/>
      </c>
      <c r="G1629" s="92">
        <f>EXP($C$12+$C$8*_xlfn.NORM.S.INV(RAND()))</f>
        <v/>
      </c>
    </row>
    <row r="1630">
      <c r="F1630">
        <f>F1629+1</f>
        <v/>
      </c>
      <c r="G1630" s="92">
        <f>EXP($C$12+$C$8*_xlfn.NORM.S.INV(RAND()))</f>
        <v/>
      </c>
    </row>
    <row r="1631">
      <c r="F1631">
        <f>F1630+1</f>
        <v/>
      </c>
      <c r="G1631" s="92">
        <f>EXP($C$12+$C$8*_xlfn.NORM.S.INV(RAND()))</f>
        <v/>
      </c>
    </row>
    <row r="1632">
      <c r="F1632">
        <f>F1631+1</f>
        <v/>
      </c>
      <c r="G1632" s="92">
        <f>EXP($C$12+$C$8*_xlfn.NORM.S.INV(RAND()))</f>
        <v/>
      </c>
    </row>
    <row r="1633">
      <c r="F1633">
        <f>F1632+1</f>
        <v/>
      </c>
      <c r="G1633" s="92">
        <f>EXP($C$12+$C$8*_xlfn.NORM.S.INV(RAND()))</f>
        <v/>
      </c>
    </row>
    <row r="1634">
      <c r="F1634">
        <f>F1633+1</f>
        <v/>
      </c>
      <c r="G1634" s="92">
        <f>EXP($C$12+$C$8*_xlfn.NORM.S.INV(RAND()))</f>
        <v/>
      </c>
    </row>
    <row r="1635">
      <c r="F1635">
        <f>F1634+1</f>
        <v/>
      </c>
      <c r="G1635" s="92">
        <f>EXP($C$12+$C$8*_xlfn.NORM.S.INV(RAND()))</f>
        <v/>
      </c>
    </row>
    <row r="1636">
      <c r="F1636">
        <f>F1635+1</f>
        <v/>
      </c>
      <c r="G1636" s="92">
        <f>EXP($C$12+$C$8*_xlfn.NORM.S.INV(RAND()))</f>
        <v/>
      </c>
    </row>
    <row r="1637">
      <c r="F1637">
        <f>F1636+1</f>
        <v/>
      </c>
      <c r="G1637" s="92">
        <f>EXP($C$12+$C$8*_xlfn.NORM.S.INV(RAND()))</f>
        <v/>
      </c>
    </row>
    <row r="1638">
      <c r="F1638">
        <f>F1637+1</f>
        <v/>
      </c>
      <c r="G1638" s="92">
        <f>EXP($C$12+$C$8*_xlfn.NORM.S.INV(RAND()))</f>
        <v/>
      </c>
    </row>
    <row r="1639">
      <c r="F1639">
        <f>F1638+1</f>
        <v/>
      </c>
      <c r="G1639" s="92">
        <f>EXP($C$12+$C$8*_xlfn.NORM.S.INV(RAND()))</f>
        <v/>
      </c>
    </row>
    <row r="1640">
      <c r="F1640">
        <f>F1639+1</f>
        <v/>
      </c>
      <c r="G1640" s="92">
        <f>EXP($C$12+$C$8*_xlfn.NORM.S.INV(RAND()))</f>
        <v/>
      </c>
    </row>
    <row r="1641">
      <c r="F1641">
        <f>F1640+1</f>
        <v/>
      </c>
      <c r="G1641" s="92">
        <f>EXP($C$12+$C$8*_xlfn.NORM.S.INV(RAND()))</f>
        <v/>
      </c>
    </row>
    <row r="1642">
      <c r="F1642">
        <f>F1641+1</f>
        <v/>
      </c>
      <c r="G1642" s="92">
        <f>EXP($C$12+$C$8*_xlfn.NORM.S.INV(RAND()))</f>
        <v/>
      </c>
    </row>
    <row r="1643">
      <c r="F1643">
        <f>F1642+1</f>
        <v/>
      </c>
      <c r="G1643" s="92">
        <f>EXP($C$12+$C$8*_xlfn.NORM.S.INV(RAND()))</f>
        <v/>
      </c>
    </row>
    <row r="1644">
      <c r="F1644">
        <f>F1643+1</f>
        <v/>
      </c>
      <c r="G1644" s="92">
        <f>EXP($C$12+$C$8*_xlfn.NORM.S.INV(RAND()))</f>
        <v/>
      </c>
    </row>
    <row r="1645">
      <c r="F1645">
        <f>F1644+1</f>
        <v/>
      </c>
      <c r="G1645" s="92">
        <f>EXP($C$12+$C$8*_xlfn.NORM.S.INV(RAND()))</f>
        <v/>
      </c>
    </row>
    <row r="1646">
      <c r="F1646">
        <f>F1645+1</f>
        <v/>
      </c>
      <c r="G1646" s="92">
        <f>EXP($C$12+$C$8*_xlfn.NORM.S.INV(RAND()))</f>
        <v/>
      </c>
    </row>
    <row r="1647">
      <c r="F1647">
        <f>F1646+1</f>
        <v/>
      </c>
      <c r="G1647" s="92">
        <f>EXP($C$12+$C$8*_xlfn.NORM.S.INV(RAND()))</f>
        <v/>
      </c>
    </row>
    <row r="1648">
      <c r="F1648">
        <f>F1647+1</f>
        <v/>
      </c>
      <c r="G1648" s="92">
        <f>EXP($C$12+$C$8*_xlfn.NORM.S.INV(RAND()))</f>
        <v/>
      </c>
    </row>
    <row r="1649">
      <c r="F1649">
        <f>F1648+1</f>
        <v/>
      </c>
      <c r="G1649" s="92">
        <f>EXP($C$12+$C$8*_xlfn.NORM.S.INV(RAND()))</f>
        <v/>
      </c>
    </row>
    <row r="1650">
      <c r="F1650">
        <f>F1649+1</f>
        <v/>
      </c>
      <c r="G1650" s="92">
        <f>EXP($C$12+$C$8*_xlfn.NORM.S.INV(RAND()))</f>
        <v/>
      </c>
    </row>
    <row r="1651">
      <c r="F1651">
        <f>F1650+1</f>
        <v/>
      </c>
      <c r="G1651" s="92">
        <f>EXP($C$12+$C$8*_xlfn.NORM.S.INV(RAND()))</f>
        <v/>
      </c>
    </row>
    <row r="1652">
      <c r="F1652">
        <f>F1651+1</f>
        <v/>
      </c>
      <c r="G1652" s="92">
        <f>EXP($C$12+$C$8*_xlfn.NORM.S.INV(RAND()))</f>
        <v/>
      </c>
    </row>
    <row r="1653">
      <c r="F1653">
        <f>F1652+1</f>
        <v/>
      </c>
      <c r="G1653" s="92">
        <f>EXP($C$12+$C$8*_xlfn.NORM.S.INV(RAND()))</f>
        <v/>
      </c>
    </row>
    <row r="1654">
      <c r="F1654">
        <f>F1653+1</f>
        <v/>
      </c>
      <c r="G1654" s="92">
        <f>EXP($C$12+$C$8*_xlfn.NORM.S.INV(RAND()))</f>
        <v/>
      </c>
    </row>
    <row r="1655">
      <c r="F1655">
        <f>F1654+1</f>
        <v/>
      </c>
      <c r="G1655" s="92">
        <f>EXP($C$12+$C$8*_xlfn.NORM.S.INV(RAND()))</f>
        <v/>
      </c>
    </row>
    <row r="1656">
      <c r="F1656">
        <f>F1655+1</f>
        <v/>
      </c>
      <c r="G1656" s="92">
        <f>EXP($C$12+$C$8*_xlfn.NORM.S.INV(RAND()))</f>
        <v/>
      </c>
    </row>
    <row r="1657">
      <c r="F1657">
        <f>F1656+1</f>
        <v/>
      </c>
      <c r="G1657" s="92">
        <f>EXP($C$12+$C$8*_xlfn.NORM.S.INV(RAND()))</f>
        <v/>
      </c>
    </row>
    <row r="1658">
      <c r="F1658">
        <f>F1657+1</f>
        <v/>
      </c>
      <c r="G1658" s="92">
        <f>EXP($C$12+$C$8*_xlfn.NORM.S.INV(RAND()))</f>
        <v/>
      </c>
    </row>
    <row r="1659">
      <c r="F1659">
        <f>F1658+1</f>
        <v/>
      </c>
      <c r="G1659" s="92">
        <f>EXP($C$12+$C$8*_xlfn.NORM.S.INV(RAND()))</f>
        <v/>
      </c>
    </row>
    <row r="1660">
      <c r="F1660">
        <f>F1659+1</f>
        <v/>
      </c>
      <c r="G1660" s="92">
        <f>EXP($C$12+$C$8*_xlfn.NORM.S.INV(RAND()))</f>
        <v/>
      </c>
    </row>
    <row r="1661">
      <c r="F1661">
        <f>F1660+1</f>
        <v/>
      </c>
      <c r="G1661" s="92">
        <f>EXP($C$12+$C$8*_xlfn.NORM.S.INV(RAND()))</f>
        <v/>
      </c>
    </row>
    <row r="1662">
      <c r="F1662">
        <f>F1661+1</f>
        <v/>
      </c>
      <c r="G1662" s="92">
        <f>EXP($C$12+$C$8*_xlfn.NORM.S.INV(RAND()))</f>
        <v/>
      </c>
    </row>
    <row r="1663">
      <c r="F1663">
        <f>F1662+1</f>
        <v/>
      </c>
      <c r="G1663" s="92">
        <f>EXP($C$12+$C$8*_xlfn.NORM.S.INV(RAND()))</f>
        <v/>
      </c>
    </row>
    <row r="1664">
      <c r="F1664">
        <f>F1663+1</f>
        <v/>
      </c>
      <c r="G1664" s="92">
        <f>EXP($C$12+$C$8*_xlfn.NORM.S.INV(RAND()))</f>
        <v/>
      </c>
    </row>
    <row r="1665">
      <c r="F1665">
        <f>F1664+1</f>
        <v/>
      </c>
      <c r="G1665" s="92">
        <f>EXP($C$12+$C$8*_xlfn.NORM.S.INV(RAND()))</f>
        <v/>
      </c>
    </row>
    <row r="1666">
      <c r="F1666">
        <f>F1665+1</f>
        <v/>
      </c>
      <c r="G1666" s="92">
        <f>EXP($C$12+$C$8*_xlfn.NORM.S.INV(RAND()))</f>
        <v/>
      </c>
    </row>
    <row r="1667">
      <c r="F1667">
        <f>F1666+1</f>
        <v/>
      </c>
      <c r="G1667" s="92">
        <f>EXP($C$12+$C$8*_xlfn.NORM.S.INV(RAND()))</f>
        <v/>
      </c>
    </row>
    <row r="1668">
      <c r="F1668">
        <f>F1667+1</f>
        <v/>
      </c>
      <c r="G1668" s="92">
        <f>EXP($C$12+$C$8*_xlfn.NORM.S.INV(RAND()))</f>
        <v/>
      </c>
    </row>
    <row r="1669">
      <c r="F1669">
        <f>F1668+1</f>
        <v/>
      </c>
      <c r="G1669" s="92">
        <f>EXP($C$12+$C$8*_xlfn.NORM.S.INV(RAND()))</f>
        <v/>
      </c>
    </row>
    <row r="1670">
      <c r="F1670">
        <f>F1669+1</f>
        <v/>
      </c>
      <c r="G1670" s="92">
        <f>EXP($C$12+$C$8*_xlfn.NORM.S.INV(RAND()))</f>
        <v/>
      </c>
    </row>
    <row r="1671">
      <c r="F1671">
        <f>F1670+1</f>
        <v/>
      </c>
      <c r="G1671" s="92">
        <f>EXP($C$12+$C$8*_xlfn.NORM.S.INV(RAND()))</f>
        <v/>
      </c>
    </row>
    <row r="1672">
      <c r="F1672">
        <f>F1671+1</f>
        <v/>
      </c>
      <c r="G1672" s="92">
        <f>EXP($C$12+$C$8*_xlfn.NORM.S.INV(RAND()))</f>
        <v/>
      </c>
    </row>
    <row r="1673">
      <c r="F1673">
        <f>F1672+1</f>
        <v/>
      </c>
      <c r="G1673" s="92">
        <f>EXP($C$12+$C$8*_xlfn.NORM.S.INV(RAND()))</f>
        <v/>
      </c>
    </row>
    <row r="1674">
      <c r="F1674">
        <f>F1673+1</f>
        <v/>
      </c>
      <c r="G1674" s="92">
        <f>EXP($C$12+$C$8*_xlfn.NORM.S.INV(RAND()))</f>
        <v/>
      </c>
    </row>
    <row r="1675">
      <c r="F1675">
        <f>F1674+1</f>
        <v/>
      </c>
      <c r="G1675" s="92">
        <f>EXP($C$12+$C$8*_xlfn.NORM.S.INV(RAND()))</f>
        <v/>
      </c>
    </row>
    <row r="1676">
      <c r="F1676">
        <f>F1675+1</f>
        <v/>
      </c>
      <c r="G1676" s="92">
        <f>EXP($C$12+$C$8*_xlfn.NORM.S.INV(RAND()))</f>
        <v/>
      </c>
    </row>
    <row r="1677">
      <c r="F1677">
        <f>F1676+1</f>
        <v/>
      </c>
      <c r="G1677" s="92">
        <f>EXP($C$12+$C$8*_xlfn.NORM.S.INV(RAND()))</f>
        <v/>
      </c>
    </row>
    <row r="1678">
      <c r="F1678">
        <f>F1677+1</f>
        <v/>
      </c>
      <c r="G1678" s="92">
        <f>EXP($C$12+$C$8*_xlfn.NORM.S.INV(RAND()))</f>
        <v/>
      </c>
    </row>
    <row r="1679">
      <c r="F1679">
        <f>F1678+1</f>
        <v/>
      </c>
      <c r="G1679" s="92">
        <f>EXP($C$12+$C$8*_xlfn.NORM.S.INV(RAND()))</f>
        <v/>
      </c>
    </row>
    <row r="1680">
      <c r="F1680">
        <f>F1679+1</f>
        <v/>
      </c>
      <c r="G1680" s="92">
        <f>EXP($C$12+$C$8*_xlfn.NORM.S.INV(RAND()))</f>
        <v/>
      </c>
    </row>
    <row r="1681">
      <c r="F1681">
        <f>F1680+1</f>
        <v/>
      </c>
      <c r="G1681" s="92">
        <f>EXP($C$12+$C$8*_xlfn.NORM.S.INV(RAND()))</f>
        <v/>
      </c>
    </row>
    <row r="1682">
      <c r="F1682">
        <f>F1681+1</f>
        <v/>
      </c>
      <c r="G1682" s="92">
        <f>EXP($C$12+$C$8*_xlfn.NORM.S.INV(RAND()))</f>
        <v/>
      </c>
    </row>
    <row r="1683">
      <c r="F1683">
        <f>F1682+1</f>
        <v/>
      </c>
      <c r="G1683" s="92">
        <f>EXP($C$12+$C$8*_xlfn.NORM.S.INV(RAND()))</f>
        <v/>
      </c>
    </row>
    <row r="1684">
      <c r="F1684">
        <f>F1683+1</f>
        <v/>
      </c>
      <c r="G1684" s="92">
        <f>EXP($C$12+$C$8*_xlfn.NORM.S.INV(RAND()))</f>
        <v/>
      </c>
    </row>
    <row r="1685">
      <c r="F1685">
        <f>F1684+1</f>
        <v/>
      </c>
      <c r="G1685" s="92">
        <f>EXP($C$12+$C$8*_xlfn.NORM.S.INV(RAND()))</f>
        <v/>
      </c>
    </row>
    <row r="1686">
      <c r="F1686">
        <f>F1685+1</f>
        <v/>
      </c>
      <c r="G1686" s="92">
        <f>EXP($C$12+$C$8*_xlfn.NORM.S.INV(RAND()))</f>
        <v/>
      </c>
    </row>
    <row r="1687">
      <c r="F1687">
        <f>F1686+1</f>
        <v/>
      </c>
      <c r="G1687" s="92">
        <f>EXP($C$12+$C$8*_xlfn.NORM.S.INV(RAND()))</f>
        <v/>
      </c>
    </row>
    <row r="1688">
      <c r="F1688">
        <f>F1687+1</f>
        <v/>
      </c>
      <c r="G1688" s="92">
        <f>EXP($C$12+$C$8*_xlfn.NORM.S.INV(RAND()))</f>
        <v/>
      </c>
    </row>
    <row r="1689">
      <c r="F1689">
        <f>F1688+1</f>
        <v/>
      </c>
      <c r="G1689" s="92">
        <f>EXP($C$12+$C$8*_xlfn.NORM.S.INV(RAND()))</f>
        <v/>
      </c>
    </row>
    <row r="1690">
      <c r="F1690">
        <f>F1689+1</f>
        <v/>
      </c>
      <c r="G1690" s="92">
        <f>EXP($C$12+$C$8*_xlfn.NORM.S.INV(RAND()))</f>
        <v/>
      </c>
    </row>
    <row r="1691">
      <c r="F1691">
        <f>F1690+1</f>
        <v/>
      </c>
      <c r="G1691" s="92">
        <f>EXP($C$12+$C$8*_xlfn.NORM.S.INV(RAND()))</f>
        <v/>
      </c>
    </row>
    <row r="1692">
      <c r="F1692">
        <f>F1691+1</f>
        <v/>
      </c>
      <c r="G1692" s="92">
        <f>EXP($C$12+$C$8*_xlfn.NORM.S.INV(RAND()))</f>
        <v/>
      </c>
    </row>
    <row r="1693">
      <c r="F1693">
        <f>F1692+1</f>
        <v/>
      </c>
      <c r="G1693" s="92">
        <f>EXP($C$12+$C$8*_xlfn.NORM.S.INV(RAND()))</f>
        <v/>
      </c>
    </row>
    <row r="1694">
      <c r="F1694">
        <f>F1693+1</f>
        <v/>
      </c>
      <c r="G1694" s="92">
        <f>EXP($C$12+$C$8*_xlfn.NORM.S.INV(RAND()))</f>
        <v/>
      </c>
    </row>
    <row r="1695">
      <c r="F1695">
        <f>F1694+1</f>
        <v/>
      </c>
      <c r="G1695" s="92">
        <f>EXP($C$12+$C$8*_xlfn.NORM.S.INV(RAND()))</f>
        <v/>
      </c>
    </row>
    <row r="1696">
      <c r="F1696">
        <f>F1695+1</f>
        <v/>
      </c>
      <c r="G1696" s="92">
        <f>EXP($C$12+$C$8*_xlfn.NORM.S.INV(RAND()))</f>
        <v/>
      </c>
    </row>
    <row r="1697">
      <c r="F1697">
        <f>F1696+1</f>
        <v/>
      </c>
      <c r="G1697" s="92">
        <f>EXP($C$12+$C$8*_xlfn.NORM.S.INV(RAND()))</f>
        <v/>
      </c>
    </row>
    <row r="1698">
      <c r="F1698">
        <f>F1697+1</f>
        <v/>
      </c>
      <c r="G1698" s="92">
        <f>EXP($C$12+$C$8*_xlfn.NORM.S.INV(RAND()))</f>
        <v/>
      </c>
    </row>
    <row r="1699">
      <c r="F1699">
        <f>F1698+1</f>
        <v/>
      </c>
      <c r="G1699" s="92">
        <f>EXP($C$12+$C$8*_xlfn.NORM.S.INV(RAND()))</f>
        <v/>
      </c>
    </row>
    <row r="1700">
      <c r="F1700">
        <f>F1699+1</f>
        <v/>
      </c>
      <c r="G1700" s="92">
        <f>EXP($C$12+$C$8*_xlfn.NORM.S.INV(RAND()))</f>
        <v/>
      </c>
    </row>
    <row r="1701">
      <c r="F1701">
        <f>F1700+1</f>
        <v/>
      </c>
      <c r="G1701" s="92">
        <f>EXP($C$12+$C$8*_xlfn.NORM.S.INV(RAND()))</f>
        <v/>
      </c>
    </row>
    <row r="1702">
      <c r="F1702">
        <f>F1701+1</f>
        <v/>
      </c>
      <c r="G1702" s="92">
        <f>EXP($C$12+$C$8*_xlfn.NORM.S.INV(RAND()))</f>
        <v/>
      </c>
    </row>
    <row r="1703">
      <c r="F1703">
        <f>F1702+1</f>
        <v/>
      </c>
      <c r="G1703" s="92">
        <f>EXP($C$12+$C$8*_xlfn.NORM.S.INV(RAND()))</f>
        <v/>
      </c>
    </row>
    <row r="1704">
      <c r="F1704">
        <f>F1703+1</f>
        <v/>
      </c>
      <c r="G1704" s="92">
        <f>EXP($C$12+$C$8*_xlfn.NORM.S.INV(RAND()))</f>
        <v/>
      </c>
    </row>
    <row r="1705">
      <c r="F1705">
        <f>F1704+1</f>
        <v/>
      </c>
      <c r="G1705" s="92">
        <f>EXP($C$12+$C$8*_xlfn.NORM.S.INV(RAND()))</f>
        <v/>
      </c>
    </row>
    <row r="1706">
      <c r="F1706">
        <f>F1705+1</f>
        <v/>
      </c>
      <c r="G1706" s="92">
        <f>EXP($C$12+$C$8*_xlfn.NORM.S.INV(RAND()))</f>
        <v/>
      </c>
    </row>
    <row r="1707">
      <c r="F1707">
        <f>F1706+1</f>
        <v/>
      </c>
      <c r="G1707" s="92">
        <f>EXP($C$12+$C$8*_xlfn.NORM.S.INV(RAND()))</f>
        <v/>
      </c>
    </row>
    <row r="1708">
      <c r="F1708">
        <f>F1707+1</f>
        <v/>
      </c>
      <c r="G1708" s="92">
        <f>EXP($C$12+$C$8*_xlfn.NORM.S.INV(RAND()))</f>
        <v/>
      </c>
    </row>
    <row r="1709">
      <c r="F1709">
        <f>F1708+1</f>
        <v/>
      </c>
      <c r="G1709" s="92">
        <f>EXP($C$12+$C$8*_xlfn.NORM.S.INV(RAND()))</f>
        <v/>
      </c>
    </row>
    <row r="1710">
      <c r="F1710">
        <f>F1709+1</f>
        <v/>
      </c>
      <c r="G1710" s="92">
        <f>EXP($C$12+$C$8*_xlfn.NORM.S.INV(RAND()))</f>
        <v/>
      </c>
    </row>
    <row r="1711">
      <c r="F1711">
        <f>F1710+1</f>
        <v/>
      </c>
      <c r="G1711" s="92">
        <f>EXP($C$12+$C$8*_xlfn.NORM.S.INV(RAND()))</f>
        <v/>
      </c>
    </row>
    <row r="1712">
      <c r="F1712">
        <f>F1711+1</f>
        <v/>
      </c>
      <c r="G1712" s="92">
        <f>EXP($C$12+$C$8*_xlfn.NORM.S.INV(RAND()))</f>
        <v/>
      </c>
    </row>
    <row r="1713">
      <c r="F1713">
        <f>F1712+1</f>
        <v/>
      </c>
      <c r="G1713" s="92">
        <f>EXP($C$12+$C$8*_xlfn.NORM.S.INV(RAND()))</f>
        <v/>
      </c>
    </row>
    <row r="1714">
      <c r="F1714">
        <f>F1713+1</f>
        <v/>
      </c>
      <c r="G1714" s="92">
        <f>EXP($C$12+$C$8*_xlfn.NORM.S.INV(RAND()))</f>
        <v/>
      </c>
    </row>
    <row r="1715">
      <c r="F1715">
        <f>F1714+1</f>
        <v/>
      </c>
      <c r="G1715" s="92">
        <f>EXP($C$12+$C$8*_xlfn.NORM.S.INV(RAND()))</f>
        <v/>
      </c>
    </row>
    <row r="1716">
      <c r="F1716">
        <f>F1715+1</f>
        <v/>
      </c>
      <c r="G1716" s="92">
        <f>EXP($C$12+$C$8*_xlfn.NORM.S.INV(RAND()))</f>
        <v/>
      </c>
    </row>
    <row r="1717">
      <c r="F1717">
        <f>F1716+1</f>
        <v/>
      </c>
      <c r="G1717" s="92">
        <f>EXP($C$12+$C$8*_xlfn.NORM.S.INV(RAND()))</f>
        <v/>
      </c>
    </row>
    <row r="1718">
      <c r="F1718">
        <f>F1717+1</f>
        <v/>
      </c>
      <c r="G1718" s="92">
        <f>EXP($C$12+$C$8*_xlfn.NORM.S.INV(RAND()))</f>
        <v/>
      </c>
    </row>
    <row r="1719">
      <c r="F1719">
        <f>F1718+1</f>
        <v/>
      </c>
      <c r="G1719" s="92">
        <f>EXP($C$12+$C$8*_xlfn.NORM.S.INV(RAND()))</f>
        <v/>
      </c>
    </row>
    <row r="1720">
      <c r="F1720">
        <f>F1719+1</f>
        <v/>
      </c>
      <c r="G1720" s="92">
        <f>EXP($C$12+$C$8*_xlfn.NORM.S.INV(RAND()))</f>
        <v/>
      </c>
    </row>
    <row r="1721">
      <c r="F1721">
        <f>F1720+1</f>
        <v/>
      </c>
      <c r="G1721" s="92">
        <f>EXP($C$12+$C$8*_xlfn.NORM.S.INV(RAND()))</f>
        <v/>
      </c>
    </row>
    <row r="1722">
      <c r="F1722">
        <f>F1721+1</f>
        <v/>
      </c>
      <c r="G1722" s="92">
        <f>EXP($C$12+$C$8*_xlfn.NORM.S.INV(RAND()))</f>
        <v/>
      </c>
    </row>
    <row r="1723">
      <c r="F1723">
        <f>F1722+1</f>
        <v/>
      </c>
      <c r="G1723" s="92">
        <f>EXP($C$12+$C$8*_xlfn.NORM.S.INV(RAND()))</f>
        <v/>
      </c>
    </row>
    <row r="1724">
      <c r="F1724">
        <f>F1723+1</f>
        <v/>
      </c>
      <c r="G1724" s="92">
        <f>EXP($C$12+$C$8*_xlfn.NORM.S.INV(RAND()))</f>
        <v/>
      </c>
    </row>
    <row r="1725">
      <c r="F1725">
        <f>F1724+1</f>
        <v/>
      </c>
      <c r="G1725" s="92">
        <f>EXP($C$12+$C$8*_xlfn.NORM.S.INV(RAND()))</f>
        <v/>
      </c>
    </row>
    <row r="1726">
      <c r="F1726">
        <f>F1725+1</f>
        <v/>
      </c>
      <c r="G1726" s="92">
        <f>EXP($C$12+$C$8*_xlfn.NORM.S.INV(RAND()))</f>
        <v/>
      </c>
    </row>
    <row r="1727">
      <c r="F1727">
        <f>F1726+1</f>
        <v/>
      </c>
      <c r="G1727" s="92">
        <f>EXP($C$12+$C$8*_xlfn.NORM.S.INV(RAND()))</f>
        <v/>
      </c>
    </row>
    <row r="1728">
      <c r="F1728">
        <f>F1727+1</f>
        <v/>
      </c>
      <c r="G1728" s="92">
        <f>EXP($C$12+$C$8*_xlfn.NORM.S.INV(RAND()))</f>
        <v/>
      </c>
    </row>
    <row r="1729">
      <c r="F1729">
        <f>F1728+1</f>
        <v/>
      </c>
      <c r="G1729" s="92">
        <f>EXP($C$12+$C$8*_xlfn.NORM.S.INV(RAND()))</f>
        <v/>
      </c>
    </row>
    <row r="1730">
      <c r="F1730">
        <f>F1729+1</f>
        <v/>
      </c>
      <c r="G1730" s="92">
        <f>EXP($C$12+$C$8*_xlfn.NORM.S.INV(RAND()))</f>
        <v/>
      </c>
    </row>
    <row r="1731">
      <c r="F1731">
        <f>F1730+1</f>
        <v/>
      </c>
      <c r="G1731" s="92">
        <f>EXP($C$12+$C$8*_xlfn.NORM.S.INV(RAND()))</f>
        <v/>
      </c>
    </row>
    <row r="1732">
      <c r="F1732">
        <f>F1731+1</f>
        <v/>
      </c>
      <c r="G1732" s="92">
        <f>EXP($C$12+$C$8*_xlfn.NORM.S.INV(RAND()))</f>
        <v/>
      </c>
    </row>
    <row r="1733">
      <c r="F1733">
        <f>F1732+1</f>
        <v/>
      </c>
      <c r="G1733" s="92">
        <f>EXP($C$12+$C$8*_xlfn.NORM.S.INV(RAND()))</f>
        <v/>
      </c>
    </row>
    <row r="1734">
      <c r="F1734">
        <f>F1733+1</f>
        <v/>
      </c>
      <c r="G1734" s="92">
        <f>EXP($C$12+$C$8*_xlfn.NORM.S.INV(RAND()))</f>
        <v/>
      </c>
    </row>
    <row r="1735">
      <c r="F1735">
        <f>F1734+1</f>
        <v/>
      </c>
      <c r="G1735" s="92">
        <f>EXP($C$12+$C$8*_xlfn.NORM.S.INV(RAND()))</f>
        <v/>
      </c>
    </row>
    <row r="1736">
      <c r="F1736">
        <f>F1735+1</f>
        <v/>
      </c>
      <c r="G1736" s="92">
        <f>EXP($C$12+$C$8*_xlfn.NORM.S.INV(RAND()))</f>
        <v/>
      </c>
    </row>
    <row r="1737">
      <c r="F1737">
        <f>F1736+1</f>
        <v/>
      </c>
      <c r="G1737" s="92">
        <f>EXP($C$12+$C$8*_xlfn.NORM.S.INV(RAND()))</f>
        <v/>
      </c>
    </row>
    <row r="1738">
      <c r="F1738">
        <f>F1737+1</f>
        <v/>
      </c>
      <c r="G1738" s="92">
        <f>EXP($C$12+$C$8*_xlfn.NORM.S.INV(RAND()))</f>
        <v/>
      </c>
    </row>
    <row r="1739">
      <c r="F1739">
        <f>F1738+1</f>
        <v/>
      </c>
      <c r="G1739" s="92">
        <f>EXP($C$12+$C$8*_xlfn.NORM.S.INV(RAND()))</f>
        <v/>
      </c>
    </row>
    <row r="1740">
      <c r="F1740">
        <f>F1739+1</f>
        <v/>
      </c>
      <c r="G1740" s="92">
        <f>EXP($C$12+$C$8*_xlfn.NORM.S.INV(RAND()))</f>
        <v/>
      </c>
    </row>
    <row r="1741">
      <c r="F1741">
        <f>F1740+1</f>
        <v/>
      </c>
      <c r="G1741" s="92">
        <f>EXP($C$12+$C$8*_xlfn.NORM.S.INV(RAND()))</f>
        <v/>
      </c>
    </row>
    <row r="1742">
      <c r="F1742">
        <f>F1741+1</f>
        <v/>
      </c>
      <c r="G1742" s="92">
        <f>EXP($C$12+$C$8*_xlfn.NORM.S.INV(RAND()))</f>
        <v/>
      </c>
    </row>
    <row r="1743">
      <c r="F1743">
        <f>F1742+1</f>
        <v/>
      </c>
      <c r="G1743" s="92">
        <f>EXP($C$12+$C$8*_xlfn.NORM.S.INV(RAND()))</f>
        <v/>
      </c>
    </row>
    <row r="1744">
      <c r="F1744">
        <f>F1743+1</f>
        <v/>
      </c>
      <c r="G1744" s="92">
        <f>EXP($C$12+$C$8*_xlfn.NORM.S.INV(RAND()))</f>
        <v/>
      </c>
    </row>
    <row r="1745">
      <c r="F1745">
        <f>F1744+1</f>
        <v/>
      </c>
      <c r="G1745" s="92">
        <f>EXP($C$12+$C$8*_xlfn.NORM.S.INV(RAND()))</f>
        <v/>
      </c>
    </row>
    <row r="1746">
      <c r="F1746">
        <f>F1745+1</f>
        <v/>
      </c>
      <c r="G1746" s="92">
        <f>EXP($C$12+$C$8*_xlfn.NORM.S.INV(RAND()))</f>
        <v/>
      </c>
    </row>
    <row r="1747">
      <c r="F1747">
        <f>F1746+1</f>
        <v/>
      </c>
      <c r="G1747" s="92">
        <f>EXP($C$12+$C$8*_xlfn.NORM.S.INV(RAND()))</f>
        <v/>
      </c>
    </row>
    <row r="1748">
      <c r="F1748">
        <f>F1747+1</f>
        <v/>
      </c>
      <c r="G1748" s="92">
        <f>EXP($C$12+$C$8*_xlfn.NORM.S.INV(RAND()))</f>
        <v/>
      </c>
    </row>
    <row r="1749">
      <c r="F1749">
        <f>F1748+1</f>
        <v/>
      </c>
      <c r="G1749" s="92">
        <f>EXP($C$12+$C$8*_xlfn.NORM.S.INV(RAND()))</f>
        <v/>
      </c>
    </row>
    <row r="1750">
      <c r="F1750">
        <f>F1749+1</f>
        <v/>
      </c>
      <c r="G1750" s="92">
        <f>EXP($C$12+$C$8*_xlfn.NORM.S.INV(RAND()))</f>
        <v/>
      </c>
    </row>
    <row r="1751">
      <c r="F1751">
        <f>F1750+1</f>
        <v/>
      </c>
      <c r="G1751" s="92">
        <f>EXP($C$12+$C$8*_xlfn.NORM.S.INV(RAND()))</f>
        <v/>
      </c>
    </row>
    <row r="1752">
      <c r="F1752">
        <f>F1751+1</f>
        <v/>
      </c>
      <c r="G1752" s="92">
        <f>EXP($C$12+$C$8*_xlfn.NORM.S.INV(RAND()))</f>
        <v/>
      </c>
    </row>
    <row r="1753">
      <c r="F1753">
        <f>F1752+1</f>
        <v/>
      </c>
      <c r="G1753" s="92">
        <f>EXP($C$12+$C$8*_xlfn.NORM.S.INV(RAND()))</f>
        <v/>
      </c>
    </row>
    <row r="1754">
      <c r="F1754">
        <f>F1753+1</f>
        <v/>
      </c>
      <c r="G1754" s="92">
        <f>EXP($C$12+$C$8*_xlfn.NORM.S.INV(RAND()))</f>
        <v/>
      </c>
    </row>
    <row r="1755">
      <c r="F1755">
        <f>F1754+1</f>
        <v/>
      </c>
      <c r="G1755" s="92">
        <f>EXP($C$12+$C$8*_xlfn.NORM.S.INV(RAND()))</f>
        <v/>
      </c>
    </row>
    <row r="1756">
      <c r="F1756">
        <f>F1755+1</f>
        <v/>
      </c>
      <c r="G1756" s="92">
        <f>EXP($C$12+$C$8*_xlfn.NORM.S.INV(RAND()))</f>
        <v/>
      </c>
    </row>
    <row r="1757">
      <c r="F1757">
        <f>F1756+1</f>
        <v/>
      </c>
      <c r="G1757" s="92">
        <f>EXP($C$12+$C$8*_xlfn.NORM.S.INV(RAND()))</f>
        <v/>
      </c>
    </row>
    <row r="1758">
      <c r="F1758">
        <f>F1757+1</f>
        <v/>
      </c>
      <c r="G1758" s="92">
        <f>EXP($C$12+$C$8*_xlfn.NORM.S.INV(RAND()))</f>
        <v/>
      </c>
    </row>
    <row r="1759">
      <c r="F1759">
        <f>F1758+1</f>
        <v/>
      </c>
      <c r="G1759" s="92">
        <f>EXP($C$12+$C$8*_xlfn.NORM.S.INV(RAND()))</f>
        <v/>
      </c>
    </row>
    <row r="1760">
      <c r="F1760">
        <f>F1759+1</f>
        <v/>
      </c>
      <c r="G1760" s="92">
        <f>EXP($C$12+$C$8*_xlfn.NORM.S.INV(RAND()))</f>
        <v/>
      </c>
    </row>
    <row r="1761">
      <c r="F1761">
        <f>F1760+1</f>
        <v/>
      </c>
      <c r="G1761" s="92">
        <f>EXP($C$12+$C$8*_xlfn.NORM.S.INV(RAND()))</f>
        <v/>
      </c>
    </row>
    <row r="1762">
      <c r="F1762">
        <f>F1761+1</f>
        <v/>
      </c>
      <c r="G1762" s="92">
        <f>EXP($C$12+$C$8*_xlfn.NORM.S.INV(RAND()))</f>
        <v/>
      </c>
    </row>
    <row r="1763">
      <c r="F1763">
        <f>F1762+1</f>
        <v/>
      </c>
      <c r="G1763" s="92">
        <f>EXP($C$12+$C$8*_xlfn.NORM.S.INV(RAND()))</f>
        <v/>
      </c>
    </row>
    <row r="1764">
      <c r="F1764">
        <f>F1763+1</f>
        <v/>
      </c>
      <c r="G1764" s="92">
        <f>EXP($C$12+$C$8*_xlfn.NORM.S.INV(RAND()))</f>
        <v/>
      </c>
    </row>
    <row r="1765">
      <c r="F1765">
        <f>F1764+1</f>
        <v/>
      </c>
      <c r="G1765" s="92">
        <f>EXP($C$12+$C$8*_xlfn.NORM.S.INV(RAND()))</f>
        <v/>
      </c>
    </row>
    <row r="1766">
      <c r="F1766">
        <f>F1765+1</f>
        <v/>
      </c>
      <c r="G1766" s="92">
        <f>EXP($C$12+$C$8*_xlfn.NORM.S.INV(RAND()))</f>
        <v/>
      </c>
    </row>
    <row r="1767">
      <c r="F1767">
        <f>F1766+1</f>
        <v/>
      </c>
      <c r="G1767" s="92">
        <f>EXP($C$12+$C$8*_xlfn.NORM.S.INV(RAND()))</f>
        <v/>
      </c>
    </row>
    <row r="1768">
      <c r="F1768">
        <f>F1767+1</f>
        <v/>
      </c>
      <c r="G1768" s="92">
        <f>EXP($C$12+$C$8*_xlfn.NORM.S.INV(RAND()))</f>
        <v/>
      </c>
    </row>
    <row r="1769">
      <c r="F1769">
        <f>F1768+1</f>
        <v/>
      </c>
      <c r="G1769" s="92">
        <f>EXP($C$12+$C$8*_xlfn.NORM.S.INV(RAND()))</f>
        <v/>
      </c>
    </row>
    <row r="1770">
      <c r="F1770">
        <f>F1769+1</f>
        <v/>
      </c>
      <c r="G1770" s="92">
        <f>EXP($C$12+$C$8*_xlfn.NORM.S.INV(RAND()))</f>
        <v/>
      </c>
    </row>
    <row r="1771">
      <c r="F1771">
        <f>F1770+1</f>
        <v/>
      </c>
      <c r="G1771" s="92">
        <f>EXP($C$12+$C$8*_xlfn.NORM.S.INV(RAND()))</f>
        <v/>
      </c>
    </row>
    <row r="1772">
      <c r="F1772">
        <f>F1771+1</f>
        <v/>
      </c>
      <c r="G1772" s="92">
        <f>EXP($C$12+$C$8*_xlfn.NORM.S.INV(RAND()))</f>
        <v/>
      </c>
    </row>
    <row r="1773">
      <c r="F1773">
        <f>F1772+1</f>
        <v/>
      </c>
      <c r="G1773" s="92">
        <f>EXP($C$12+$C$8*_xlfn.NORM.S.INV(RAND()))</f>
        <v/>
      </c>
    </row>
    <row r="1774">
      <c r="F1774">
        <f>F1773+1</f>
        <v/>
      </c>
      <c r="G1774" s="92">
        <f>EXP($C$12+$C$8*_xlfn.NORM.S.INV(RAND()))</f>
        <v/>
      </c>
    </row>
    <row r="1775">
      <c r="F1775">
        <f>F1774+1</f>
        <v/>
      </c>
      <c r="G1775" s="92">
        <f>EXP($C$12+$C$8*_xlfn.NORM.S.INV(RAND()))</f>
        <v/>
      </c>
    </row>
    <row r="1776">
      <c r="F1776">
        <f>F1775+1</f>
        <v/>
      </c>
      <c r="G1776" s="92">
        <f>EXP($C$12+$C$8*_xlfn.NORM.S.INV(RAND()))</f>
        <v/>
      </c>
    </row>
    <row r="1777">
      <c r="F1777">
        <f>F1776+1</f>
        <v/>
      </c>
      <c r="G1777" s="92">
        <f>EXP($C$12+$C$8*_xlfn.NORM.S.INV(RAND()))</f>
        <v/>
      </c>
    </row>
    <row r="1778">
      <c r="F1778">
        <f>F1777+1</f>
        <v/>
      </c>
      <c r="G1778" s="92">
        <f>EXP($C$12+$C$8*_xlfn.NORM.S.INV(RAND()))</f>
        <v/>
      </c>
    </row>
    <row r="1779">
      <c r="F1779">
        <f>F1778+1</f>
        <v/>
      </c>
      <c r="G1779" s="92">
        <f>EXP($C$12+$C$8*_xlfn.NORM.S.INV(RAND()))</f>
        <v/>
      </c>
    </row>
    <row r="1780">
      <c r="F1780">
        <f>F1779+1</f>
        <v/>
      </c>
      <c r="G1780" s="92">
        <f>EXP($C$12+$C$8*_xlfn.NORM.S.INV(RAND()))</f>
        <v/>
      </c>
    </row>
    <row r="1781">
      <c r="F1781">
        <f>F1780+1</f>
        <v/>
      </c>
      <c r="G1781" s="92">
        <f>EXP($C$12+$C$8*_xlfn.NORM.S.INV(RAND()))</f>
        <v/>
      </c>
    </row>
    <row r="1782">
      <c r="F1782">
        <f>F1781+1</f>
        <v/>
      </c>
      <c r="G1782" s="92">
        <f>EXP($C$12+$C$8*_xlfn.NORM.S.INV(RAND()))</f>
        <v/>
      </c>
    </row>
    <row r="1783">
      <c r="F1783">
        <f>F1782+1</f>
        <v/>
      </c>
      <c r="G1783" s="92">
        <f>EXP($C$12+$C$8*_xlfn.NORM.S.INV(RAND()))</f>
        <v/>
      </c>
    </row>
    <row r="1784">
      <c r="F1784">
        <f>F1783+1</f>
        <v/>
      </c>
      <c r="G1784" s="92">
        <f>EXP($C$12+$C$8*_xlfn.NORM.S.INV(RAND()))</f>
        <v/>
      </c>
    </row>
    <row r="1785">
      <c r="F1785">
        <f>F1784+1</f>
        <v/>
      </c>
      <c r="G1785" s="92">
        <f>EXP($C$12+$C$8*_xlfn.NORM.S.INV(RAND()))</f>
        <v/>
      </c>
    </row>
    <row r="1786">
      <c r="F1786">
        <f>F1785+1</f>
        <v/>
      </c>
      <c r="G1786" s="92">
        <f>EXP($C$12+$C$8*_xlfn.NORM.S.INV(RAND()))</f>
        <v/>
      </c>
    </row>
    <row r="1787">
      <c r="F1787">
        <f>F1786+1</f>
        <v/>
      </c>
      <c r="G1787" s="92">
        <f>EXP($C$12+$C$8*_xlfn.NORM.S.INV(RAND()))</f>
        <v/>
      </c>
    </row>
    <row r="1788">
      <c r="F1788">
        <f>F1787+1</f>
        <v/>
      </c>
      <c r="G1788" s="92">
        <f>EXP($C$12+$C$8*_xlfn.NORM.S.INV(RAND()))</f>
        <v/>
      </c>
    </row>
    <row r="1789">
      <c r="F1789">
        <f>F1788+1</f>
        <v/>
      </c>
      <c r="G1789" s="92">
        <f>EXP($C$12+$C$8*_xlfn.NORM.S.INV(RAND()))</f>
        <v/>
      </c>
    </row>
    <row r="1790">
      <c r="F1790">
        <f>F1789+1</f>
        <v/>
      </c>
      <c r="G1790" s="92">
        <f>EXP($C$12+$C$8*_xlfn.NORM.S.INV(RAND()))</f>
        <v/>
      </c>
    </row>
    <row r="1791">
      <c r="F1791">
        <f>F1790+1</f>
        <v/>
      </c>
      <c r="G1791" s="92">
        <f>EXP($C$12+$C$8*_xlfn.NORM.S.INV(RAND()))</f>
        <v/>
      </c>
    </row>
    <row r="1792">
      <c r="F1792">
        <f>F1791+1</f>
        <v/>
      </c>
      <c r="G1792" s="92">
        <f>EXP($C$12+$C$8*_xlfn.NORM.S.INV(RAND()))</f>
        <v/>
      </c>
    </row>
    <row r="1793">
      <c r="F1793">
        <f>F1792+1</f>
        <v/>
      </c>
      <c r="G1793" s="92">
        <f>EXP($C$12+$C$8*_xlfn.NORM.S.INV(RAND()))</f>
        <v/>
      </c>
    </row>
    <row r="1794">
      <c r="F1794">
        <f>F1793+1</f>
        <v/>
      </c>
      <c r="G1794" s="92">
        <f>EXP($C$12+$C$8*_xlfn.NORM.S.INV(RAND()))</f>
        <v/>
      </c>
    </row>
    <row r="1795">
      <c r="F1795">
        <f>F1794+1</f>
        <v/>
      </c>
      <c r="G1795" s="92">
        <f>EXP($C$12+$C$8*_xlfn.NORM.S.INV(RAND()))</f>
        <v/>
      </c>
    </row>
    <row r="1796">
      <c r="F1796">
        <f>F1795+1</f>
        <v/>
      </c>
      <c r="G1796" s="92">
        <f>EXP($C$12+$C$8*_xlfn.NORM.S.INV(RAND()))</f>
        <v/>
      </c>
    </row>
    <row r="1797">
      <c r="F1797">
        <f>F1796+1</f>
        <v/>
      </c>
      <c r="G1797" s="92">
        <f>EXP($C$12+$C$8*_xlfn.NORM.S.INV(RAND()))</f>
        <v/>
      </c>
    </row>
    <row r="1798">
      <c r="F1798">
        <f>F1797+1</f>
        <v/>
      </c>
      <c r="G1798" s="92">
        <f>EXP($C$12+$C$8*_xlfn.NORM.S.INV(RAND()))</f>
        <v/>
      </c>
    </row>
    <row r="1799">
      <c r="F1799">
        <f>F1798+1</f>
        <v/>
      </c>
      <c r="G1799" s="92">
        <f>EXP($C$12+$C$8*_xlfn.NORM.S.INV(RAND()))</f>
        <v/>
      </c>
    </row>
    <row r="1800">
      <c r="F1800">
        <f>F1799+1</f>
        <v/>
      </c>
      <c r="G1800" s="92">
        <f>EXP($C$12+$C$8*_xlfn.NORM.S.INV(RAND()))</f>
        <v/>
      </c>
    </row>
    <row r="1801">
      <c r="F1801">
        <f>F1800+1</f>
        <v/>
      </c>
      <c r="G1801" s="92">
        <f>EXP($C$12+$C$8*_xlfn.NORM.S.INV(RAND()))</f>
        <v/>
      </c>
    </row>
    <row r="1802">
      <c r="F1802">
        <f>F1801+1</f>
        <v/>
      </c>
      <c r="G1802" s="92">
        <f>EXP($C$12+$C$8*_xlfn.NORM.S.INV(RAND()))</f>
        <v/>
      </c>
    </row>
    <row r="1803">
      <c r="F1803">
        <f>F1802+1</f>
        <v/>
      </c>
      <c r="G1803" s="92">
        <f>EXP($C$12+$C$8*_xlfn.NORM.S.INV(RAND()))</f>
        <v/>
      </c>
    </row>
    <row r="1804">
      <c r="F1804">
        <f>F1803+1</f>
        <v/>
      </c>
      <c r="G1804" s="92">
        <f>EXP($C$12+$C$8*_xlfn.NORM.S.INV(RAND()))</f>
        <v/>
      </c>
    </row>
    <row r="1805">
      <c r="F1805">
        <f>F1804+1</f>
        <v/>
      </c>
      <c r="G1805" s="92">
        <f>EXP($C$12+$C$8*_xlfn.NORM.S.INV(RAND()))</f>
        <v/>
      </c>
    </row>
    <row r="1806">
      <c r="F1806">
        <f>F1805+1</f>
        <v/>
      </c>
      <c r="G1806" s="92">
        <f>EXP($C$12+$C$8*_xlfn.NORM.S.INV(RAND()))</f>
        <v/>
      </c>
    </row>
    <row r="1807">
      <c r="F1807">
        <f>F1806+1</f>
        <v/>
      </c>
      <c r="G1807" s="92">
        <f>EXP($C$12+$C$8*_xlfn.NORM.S.INV(RAND()))</f>
        <v/>
      </c>
    </row>
    <row r="1808">
      <c r="F1808">
        <f>F1807+1</f>
        <v/>
      </c>
      <c r="G1808" s="92">
        <f>EXP($C$12+$C$8*_xlfn.NORM.S.INV(RAND()))</f>
        <v/>
      </c>
    </row>
    <row r="1809">
      <c r="F1809">
        <f>F1808+1</f>
        <v/>
      </c>
      <c r="G1809" s="92">
        <f>EXP($C$12+$C$8*_xlfn.NORM.S.INV(RAND()))</f>
        <v/>
      </c>
    </row>
    <row r="1810">
      <c r="F1810">
        <f>F1809+1</f>
        <v/>
      </c>
      <c r="G1810" s="92">
        <f>EXP($C$12+$C$8*_xlfn.NORM.S.INV(RAND()))</f>
        <v/>
      </c>
    </row>
    <row r="1811">
      <c r="F1811">
        <f>F1810+1</f>
        <v/>
      </c>
      <c r="G1811" s="92">
        <f>EXP($C$12+$C$8*_xlfn.NORM.S.INV(RAND()))</f>
        <v/>
      </c>
    </row>
    <row r="1812">
      <c r="F1812">
        <f>F1811+1</f>
        <v/>
      </c>
      <c r="G1812" s="92">
        <f>EXP($C$12+$C$8*_xlfn.NORM.S.INV(RAND()))</f>
        <v/>
      </c>
    </row>
    <row r="1813">
      <c r="F1813">
        <f>F1812+1</f>
        <v/>
      </c>
      <c r="G1813" s="92">
        <f>EXP($C$12+$C$8*_xlfn.NORM.S.INV(RAND()))</f>
        <v/>
      </c>
    </row>
    <row r="1814">
      <c r="F1814">
        <f>F1813+1</f>
        <v/>
      </c>
      <c r="G1814" s="92">
        <f>EXP($C$12+$C$8*_xlfn.NORM.S.INV(RAND()))</f>
        <v/>
      </c>
    </row>
    <row r="1815">
      <c r="F1815">
        <f>F1814+1</f>
        <v/>
      </c>
      <c r="G1815" s="92">
        <f>EXP($C$12+$C$8*_xlfn.NORM.S.INV(RAND()))</f>
        <v/>
      </c>
    </row>
    <row r="1816">
      <c r="F1816">
        <f>F1815+1</f>
        <v/>
      </c>
      <c r="G1816" s="92">
        <f>EXP($C$12+$C$8*_xlfn.NORM.S.INV(RAND()))</f>
        <v/>
      </c>
    </row>
    <row r="1817">
      <c r="F1817">
        <f>F1816+1</f>
        <v/>
      </c>
      <c r="G1817" s="92">
        <f>EXP($C$12+$C$8*_xlfn.NORM.S.INV(RAND()))</f>
        <v/>
      </c>
    </row>
    <row r="1818">
      <c r="F1818">
        <f>F1817+1</f>
        <v/>
      </c>
      <c r="G1818" s="92">
        <f>EXP($C$12+$C$8*_xlfn.NORM.S.INV(RAND()))</f>
        <v/>
      </c>
    </row>
    <row r="1819">
      <c r="F1819">
        <f>F1818+1</f>
        <v/>
      </c>
      <c r="G1819" s="92">
        <f>EXP($C$12+$C$8*_xlfn.NORM.S.INV(RAND()))</f>
        <v/>
      </c>
    </row>
    <row r="1820">
      <c r="F1820">
        <f>F1819+1</f>
        <v/>
      </c>
      <c r="G1820" s="92">
        <f>EXP($C$12+$C$8*_xlfn.NORM.S.INV(RAND()))</f>
        <v/>
      </c>
    </row>
    <row r="1821">
      <c r="F1821">
        <f>F1820+1</f>
        <v/>
      </c>
      <c r="G1821" s="92">
        <f>EXP($C$12+$C$8*_xlfn.NORM.S.INV(RAND()))</f>
        <v/>
      </c>
    </row>
    <row r="1822">
      <c r="F1822">
        <f>F1821+1</f>
        <v/>
      </c>
      <c r="G1822" s="92">
        <f>EXP($C$12+$C$8*_xlfn.NORM.S.INV(RAND()))</f>
        <v/>
      </c>
    </row>
    <row r="1823">
      <c r="F1823">
        <f>F1822+1</f>
        <v/>
      </c>
      <c r="G1823" s="92">
        <f>EXP($C$12+$C$8*_xlfn.NORM.S.INV(RAND()))</f>
        <v/>
      </c>
    </row>
    <row r="1824">
      <c r="F1824">
        <f>F1823+1</f>
        <v/>
      </c>
      <c r="G1824" s="92">
        <f>EXP($C$12+$C$8*_xlfn.NORM.S.INV(RAND()))</f>
        <v/>
      </c>
    </row>
    <row r="1825">
      <c r="F1825">
        <f>F1824+1</f>
        <v/>
      </c>
      <c r="G1825" s="92">
        <f>EXP($C$12+$C$8*_xlfn.NORM.S.INV(RAND()))</f>
        <v/>
      </c>
    </row>
    <row r="1826">
      <c r="F1826">
        <f>F1825+1</f>
        <v/>
      </c>
      <c r="G1826" s="92">
        <f>EXP($C$12+$C$8*_xlfn.NORM.S.INV(RAND()))</f>
        <v/>
      </c>
    </row>
    <row r="1827">
      <c r="F1827">
        <f>F1826+1</f>
        <v/>
      </c>
      <c r="G1827" s="92">
        <f>EXP($C$12+$C$8*_xlfn.NORM.S.INV(RAND()))</f>
        <v/>
      </c>
    </row>
    <row r="1828">
      <c r="F1828">
        <f>F1827+1</f>
        <v/>
      </c>
      <c r="G1828" s="92">
        <f>EXP($C$12+$C$8*_xlfn.NORM.S.INV(RAND()))</f>
        <v/>
      </c>
    </row>
    <row r="1829">
      <c r="F1829">
        <f>F1828+1</f>
        <v/>
      </c>
      <c r="G1829" s="92">
        <f>EXP($C$12+$C$8*_xlfn.NORM.S.INV(RAND()))</f>
        <v/>
      </c>
    </row>
    <row r="1830">
      <c r="F1830">
        <f>F1829+1</f>
        <v/>
      </c>
      <c r="G1830" s="92">
        <f>EXP($C$12+$C$8*_xlfn.NORM.S.INV(RAND()))</f>
        <v/>
      </c>
    </row>
    <row r="1831">
      <c r="F1831">
        <f>F1830+1</f>
        <v/>
      </c>
      <c r="G1831" s="92">
        <f>EXP($C$12+$C$8*_xlfn.NORM.S.INV(RAND()))</f>
        <v/>
      </c>
    </row>
    <row r="1832">
      <c r="F1832">
        <f>F1831+1</f>
        <v/>
      </c>
      <c r="G1832" s="92">
        <f>EXP($C$12+$C$8*_xlfn.NORM.S.INV(RAND()))</f>
        <v/>
      </c>
    </row>
    <row r="1833">
      <c r="F1833">
        <f>F1832+1</f>
        <v/>
      </c>
      <c r="G1833" s="92">
        <f>EXP($C$12+$C$8*_xlfn.NORM.S.INV(RAND()))</f>
        <v/>
      </c>
    </row>
    <row r="1834">
      <c r="F1834">
        <f>F1833+1</f>
        <v/>
      </c>
      <c r="G1834" s="92">
        <f>EXP($C$12+$C$8*_xlfn.NORM.S.INV(RAND()))</f>
        <v/>
      </c>
    </row>
    <row r="1835">
      <c r="F1835">
        <f>F1834+1</f>
        <v/>
      </c>
      <c r="G1835" s="92">
        <f>EXP($C$12+$C$8*_xlfn.NORM.S.INV(RAND()))</f>
        <v/>
      </c>
    </row>
    <row r="1836">
      <c r="F1836">
        <f>F1835+1</f>
        <v/>
      </c>
      <c r="G1836" s="92">
        <f>EXP($C$12+$C$8*_xlfn.NORM.S.INV(RAND()))</f>
        <v/>
      </c>
    </row>
    <row r="1837">
      <c r="F1837">
        <f>F1836+1</f>
        <v/>
      </c>
      <c r="G1837" s="92">
        <f>EXP($C$12+$C$8*_xlfn.NORM.S.INV(RAND()))</f>
        <v/>
      </c>
    </row>
    <row r="1838">
      <c r="F1838">
        <f>F1837+1</f>
        <v/>
      </c>
      <c r="G1838" s="92">
        <f>EXP($C$12+$C$8*_xlfn.NORM.S.INV(RAND()))</f>
        <v/>
      </c>
    </row>
    <row r="1839">
      <c r="F1839">
        <f>F1838+1</f>
        <v/>
      </c>
      <c r="G1839" s="92">
        <f>EXP($C$12+$C$8*_xlfn.NORM.S.INV(RAND()))</f>
        <v/>
      </c>
    </row>
    <row r="1840">
      <c r="F1840">
        <f>F1839+1</f>
        <v/>
      </c>
      <c r="G1840" s="92">
        <f>EXP($C$12+$C$8*_xlfn.NORM.S.INV(RAND()))</f>
        <v/>
      </c>
    </row>
    <row r="1841">
      <c r="F1841">
        <f>F1840+1</f>
        <v/>
      </c>
      <c r="G1841" s="92">
        <f>EXP($C$12+$C$8*_xlfn.NORM.S.INV(RAND()))</f>
        <v/>
      </c>
    </row>
    <row r="1842">
      <c r="F1842">
        <f>F1841+1</f>
        <v/>
      </c>
      <c r="G1842" s="92">
        <f>EXP($C$12+$C$8*_xlfn.NORM.S.INV(RAND()))</f>
        <v/>
      </c>
    </row>
    <row r="1843">
      <c r="F1843">
        <f>F1842+1</f>
        <v/>
      </c>
      <c r="G1843" s="92">
        <f>EXP($C$12+$C$8*_xlfn.NORM.S.INV(RAND()))</f>
        <v/>
      </c>
    </row>
    <row r="1844">
      <c r="F1844">
        <f>F1843+1</f>
        <v/>
      </c>
      <c r="G1844" s="92">
        <f>EXP($C$12+$C$8*_xlfn.NORM.S.INV(RAND()))</f>
        <v/>
      </c>
    </row>
    <row r="1845">
      <c r="F1845">
        <f>F1844+1</f>
        <v/>
      </c>
      <c r="G1845" s="92">
        <f>EXP($C$12+$C$8*_xlfn.NORM.S.INV(RAND()))</f>
        <v/>
      </c>
    </row>
    <row r="1846">
      <c r="F1846">
        <f>F1845+1</f>
        <v/>
      </c>
      <c r="G1846" s="92">
        <f>EXP($C$12+$C$8*_xlfn.NORM.S.INV(RAND()))</f>
        <v/>
      </c>
    </row>
    <row r="1847">
      <c r="F1847">
        <f>F1846+1</f>
        <v/>
      </c>
      <c r="G1847" s="92">
        <f>EXP($C$12+$C$8*_xlfn.NORM.S.INV(RAND()))</f>
        <v/>
      </c>
    </row>
    <row r="1848">
      <c r="F1848">
        <f>F1847+1</f>
        <v/>
      </c>
      <c r="G1848" s="92">
        <f>EXP($C$12+$C$8*_xlfn.NORM.S.INV(RAND()))</f>
        <v/>
      </c>
    </row>
    <row r="1849">
      <c r="F1849">
        <f>F1848+1</f>
        <v/>
      </c>
      <c r="G1849" s="92">
        <f>EXP($C$12+$C$8*_xlfn.NORM.S.INV(RAND()))</f>
        <v/>
      </c>
    </row>
    <row r="1850">
      <c r="F1850">
        <f>F1849+1</f>
        <v/>
      </c>
      <c r="G1850" s="92">
        <f>EXP($C$12+$C$8*_xlfn.NORM.S.INV(RAND()))</f>
        <v/>
      </c>
    </row>
    <row r="1851">
      <c r="F1851">
        <f>F1850+1</f>
        <v/>
      </c>
      <c r="G1851" s="92">
        <f>EXP($C$12+$C$8*_xlfn.NORM.S.INV(RAND()))</f>
        <v/>
      </c>
    </row>
    <row r="1852">
      <c r="F1852">
        <f>F1851+1</f>
        <v/>
      </c>
      <c r="G1852" s="92">
        <f>EXP($C$12+$C$8*_xlfn.NORM.S.INV(RAND()))</f>
        <v/>
      </c>
    </row>
    <row r="1853">
      <c r="F1853">
        <f>F1852+1</f>
        <v/>
      </c>
      <c r="G1853" s="92">
        <f>EXP($C$12+$C$8*_xlfn.NORM.S.INV(RAND()))</f>
        <v/>
      </c>
    </row>
    <row r="1854">
      <c r="F1854">
        <f>F1853+1</f>
        <v/>
      </c>
      <c r="G1854" s="92">
        <f>EXP($C$12+$C$8*_xlfn.NORM.S.INV(RAND()))</f>
        <v/>
      </c>
    </row>
    <row r="1855">
      <c r="F1855">
        <f>F1854+1</f>
        <v/>
      </c>
      <c r="G1855" s="92">
        <f>EXP($C$12+$C$8*_xlfn.NORM.S.INV(RAND()))</f>
        <v/>
      </c>
    </row>
    <row r="1856">
      <c r="F1856">
        <f>F1855+1</f>
        <v/>
      </c>
      <c r="G1856" s="92">
        <f>EXP($C$12+$C$8*_xlfn.NORM.S.INV(RAND()))</f>
        <v/>
      </c>
    </row>
    <row r="1857">
      <c r="F1857">
        <f>F1856+1</f>
        <v/>
      </c>
      <c r="G1857" s="92">
        <f>EXP($C$12+$C$8*_xlfn.NORM.S.INV(RAND()))</f>
        <v/>
      </c>
    </row>
    <row r="1858">
      <c r="F1858">
        <f>F1857+1</f>
        <v/>
      </c>
      <c r="G1858" s="92">
        <f>EXP($C$12+$C$8*_xlfn.NORM.S.INV(RAND()))</f>
        <v/>
      </c>
    </row>
    <row r="1859">
      <c r="F1859">
        <f>F1858+1</f>
        <v/>
      </c>
      <c r="G1859" s="92">
        <f>EXP($C$12+$C$8*_xlfn.NORM.S.INV(RAND()))</f>
        <v/>
      </c>
    </row>
    <row r="1860">
      <c r="F1860">
        <f>F1859+1</f>
        <v/>
      </c>
      <c r="G1860" s="92">
        <f>EXP($C$12+$C$8*_xlfn.NORM.S.INV(RAND()))</f>
        <v/>
      </c>
    </row>
    <row r="1861">
      <c r="F1861">
        <f>F1860+1</f>
        <v/>
      </c>
      <c r="G1861" s="92">
        <f>EXP($C$12+$C$8*_xlfn.NORM.S.INV(RAND()))</f>
        <v/>
      </c>
    </row>
    <row r="1862">
      <c r="F1862">
        <f>F1861+1</f>
        <v/>
      </c>
      <c r="G1862" s="92">
        <f>EXP($C$12+$C$8*_xlfn.NORM.S.INV(RAND()))</f>
        <v/>
      </c>
    </row>
    <row r="1863">
      <c r="F1863">
        <f>F1862+1</f>
        <v/>
      </c>
      <c r="G1863" s="92">
        <f>EXP($C$12+$C$8*_xlfn.NORM.S.INV(RAND()))</f>
        <v/>
      </c>
    </row>
    <row r="1864">
      <c r="F1864">
        <f>F1863+1</f>
        <v/>
      </c>
      <c r="G1864" s="92">
        <f>EXP($C$12+$C$8*_xlfn.NORM.S.INV(RAND()))</f>
        <v/>
      </c>
    </row>
    <row r="1865">
      <c r="F1865">
        <f>F1864+1</f>
        <v/>
      </c>
      <c r="G1865" s="92">
        <f>EXP($C$12+$C$8*_xlfn.NORM.S.INV(RAND()))</f>
        <v/>
      </c>
    </row>
    <row r="1866">
      <c r="F1866">
        <f>F1865+1</f>
        <v/>
      </c>
      <c r="G1866" s="92">
        <f>EXP($C$12+$C$8*_xlfn.NORM.S.INV(RAND()))</f>
        <v/>
      </c>
    </row>
    <row r="1867">
      <c r="F1867">
        <f>F1866+1</f>
        <v/>
      </c>
      <c r="G1867" s="92">
        <f>EXP($C$12+$C$8*_xlfn.NORM.S.INV(RAND()))</f>
        <v/>
      </c>
    </row>
    <row r="1868">
      <c r="F1868">
        <f>F1867+1</f>
        <v/>
      </c>
      <c r="G1868" s="92">
        <f>EXP($C$12+$C$8*_xlfn.NORM.S.INV(RAND()))</f>
        <v/>
      </c>
    </row>
    <row r="1869">
      <c r="F1869">
        <f>F1868+1</f>
        <v/>
      </c>
      <c r="G1869" s="92">
        <f>EXP($C$12+$C$8*_xlfn.NORM.S.INV(RAND()))</f>
        <v/>
      </c>
    </row>
    <row r="1870">
      <c r="F1870">
        <f>F1869+1</f>
        <v/>
      </c>
      <c r="G1870" s="92">
        <f>EXP($C$12+$C$8*_xlfn.NORM.S.INV(RAND()))</f>
        <v/>
      </c>
    </row>
    <row r="1871">
      <c r="F1871">
        <f>F1870+1</f>
        <v/>
      </c>
      <c r="G1871" s="92">
        <f>EXP($C$12+$C$8*_xlfn.NORM.S.INV(RAND()))</f>
        <v/>
      </c>
    </row>
    <row r="1872">
      <c r="F1872">
        <f>F1871+1</f>
        <v/>
      </c>
      <c r="G1872" s="92">
        <f>EXP($C$12+$C$8*_xlfn.NORM.S.INV(RAND()))</f>
        <v/>
      </c>
    </row>
    <row r="1873">
      <c r="F1873">
        <f>F1872+1</f>
        <v/>
      </c>
      <c r="G1873" s="92">
        <f>EXP($C$12+$C$8*_xlfn.NORM.S.INV(RAND()))</f>
        <v/>
      </c>
    </row>
    <row r="1874">
      <c r="F1874">
        <f>F1873+1</f>
        <v/>
      </c>
      <c r="G1874" s="92">
        <f>EXP($C$12+$C$8*_xlfn.NORM.S.INV(RAND()))</f>
        <v/>
      </c>
    </row>
    <row r="1875">
      <c r="F1875">
        <f>F1874+1</f>
        <v/>
      </c>
      <c r="G1875" s="92">
        <f>EXP($C$12+$C$8*_xlfn.NORM.S.INV(RAND()))</f>
        <v/>
      </c>
    </row>
    <row r="1876">
      <c r="F1876">
        <f>F1875+1</f>
        <v/>
      </c>
      <c r="G1876" s="92">
        <f>EXP($C$12+$C$8*_xlfn.NORM.S.INV(RAND()))</f>
        <v/>
      </c>
    </row>
    <row r="1877">
      <c r="F1877">
        <f>F1876+1</f>
        <v/>
      </c>
      <c r="G1877" s="92">
        <f>EXP($C$12+$C$8*_xlfn.NORM.S.INV(RAND()))</f>
        <v/>
      </c>
    </row>
    <row r="1878">
      <c r="F1878">
        <f>F1877+1</f>
        <v/>
      </c>
      <c r="G1878" s="92">
        <f>EXP($C$12+$C$8*_xlfn.NORM.S.INV(RAND()))</f>
        <v/>
      </c>
    </row>
    <row r="1879">
      <c r="F1879">
        <f>F1878+1</f>
        <v/>
      </c>
      <c r="G1879" s="92">
        <f>EXP($C$12+$C$8*_xlfn.NORM.S.INV(RAND()))</f>
        <v/>
      </c>
    </row>
    <row r="1880">
      <c r="F1880">
        <f>F1879+1</f>
        <v/>
      </c>
      <c r="G1880" s="92">
        <f>EXP($C$12+$C$8*_xlfn.NORM.S.INV(RAND()))</f>
        <v/>
      </c>
    </row>
    <row r="1881">
      <c r="F1881">
        <f>F1880+1</f>
        <v/>
      </c>
      <c r="G1881" s="92">
        <f>EXP($C$12+$C$8*_xlfn.NORM.S.INV(RAND()))</f>
        <v/>
      </c>
    </row>
    <row r="1882">
      <c r="F1882">
        <f>F1881+1</f>
        <v/>
      </c>
      <c r="G1882" s="92">
        <f>EXP($C$12+$C$8*_xlfn.NORM.S.INV(RAND()))</f>
        <v/>
      </c>
    </row>
    <row r="1883">
      <c r="F1883">
        <f>F1882+1</f>
        <v/>
      </c>
      <c r="G1883" s="92">
        <f>EXP($C$12+$C$8*_xlfn.NORM.S.INV(RAND()))</f>
        <v/>
      </c>
    </row>
    <row r="1884">
      <c r="F1884">
        <f>F1883+1</f>
        <v/>
      </c>
      <c r="G1884" s="92">
        <f>EXP($C$12+$C$8*_xlfn.NORM.S.INV(RAND()))</f>
        <v/>
      </c>
    </row>
    <row r="1885">
      <c r="F1885">
        <f>F1884+1</f>
        <v/>
      </c>
      <c r="G1885" s="92">
        <f>EXP($C$12+$C$8*_xlfn.NORM.S.INV(RAND()))</f>
        <v/>
      </c>
    </row>
    <row r="1886">
      <c r="F1886">
        <f>F1885+1</f>
        <v/>
      </c>
      <c r="G1886" s="92">
        <f>EXP($C$12+$C$8*_xlfn.NORM.S.INV(RAND()))</f>
        <v/>
      </c>
    </row>
    <row r="1887">
      <c r="F1887">
        <f>F1886+1</f>
        <v/>
      </c>
      <c r="G1887" s="92">
        <f>EXP($C$12+$C$8*_xlfn.NORM.S.INV(RAND()))</f>
        <v/>
      </c>
    </row>
    <row r="1888">
      <c r="F1888">
        <f>F1887+1</f>
        <v/>
      </c>
      <c r="G1888" s="92">
        <f>EXP($C$12+$C$8*_xlfn.NORM.S.INV(RAND()))</f>
        <v/>
      </c>
    </row>
    <row r="1889">
      <c r="F1889">
        <f>F1888+1</f>
        <v/>
      </c>
      <c r="G1889" s="92">
        <f>EXP($C$12+$C$8*_xlfn.NORM.S.INV(RAND()))</f>
        <v/>
      </c>
    </row>
    <row r="1890">
      <c r="F1890">
        <f>F1889+1</f>
        <v/>
      </c>
      <c r="G1890" s="92">
        <f>EXP($C$12+$C$8*_xlfn.NORM.S.INV(RAND()))</f>
        <v/>
      </c>
    </row>
    <row r="1891">
      <c r="F1891">
        <f>F1890+1</f>
        <v/>
      </c>
      <c r="G1891" s="92">
        <f>EXP($C$12+$C$8*_xlfn.NORM.S.INV(RAND()))</f>
        <v/>
      </c>
    </row>
    <row r="1892">
      <c r="F1892">
        <f>F1891+1</f>
        <v/>
      </c>
      <c r="G1892" s="92">
        <f>EXP($C$12+$C$8*_xlfn.NORM.S.INV(RAND()))</f>
        <v/>
      </c>
    </row>
    <row r="1893">
      <c r="F1893">
        <f>F1892+1</f>
        <v/>
      </c>
      <c r="G1893" s="92">
        <f>EXP($C$12+$C$8*_xlfn.NORM.S.INV(RAND()))</f>
        <v/>
      </c>
    </row>
    <row r="1894">
      <c r="F1894">
        <f>F1893+1</f>
        <v/>
      </c>
      <c r="G1894" s="92">
        <f>EXP($C$12+$C$8*_xlfn.NORM.S.INV(RAND()))</f>
        <v/>
      </c>
    </row>
    <row r="1895">
      <c r="F1895">
        <f>F1894+1</f>
        <v/>
      </c>
      <c r="G1895" s="92">
        <f>EXP($C$12+$C$8*_xlfn.NORM.S.INV(RAND()))</f>
        <v/>
      </c>
    </row>
    <row r="1896">
      <c r="F1896">
        <f>F1895+1</f>
        <v/>
      </c>
      <c r="G1896" s="92">
        <f>EXP($C$12+$C$8*_xlfn.NORM.S.INV(RAND()))</f>
        <v/>
      </c>
    </row>
    <row r="1897">
      <c r="F1897">
        <f>F1896+1</f>
        <v/>
      </c>
      <c r="G1897" s="92">
        <f>EXP($C$12+$C$8*_xlfn.NORM.S.INV(RAND()))</f>
        <v/>
      </c>
    </row>
    <row r="1898">
      <c r="F1898">
        <f>F1897+1</f>
        <v/>
      </c>
      <c r="G1898" s="92">
        <f>EXP($C$12+$C$8*_xlfn.NORM.S.INV(RAND()))</f>
        <v/>
      </c>
    </row>
    <row r="1899">
      <c r="F1899">
        <f>F1898+1</f>
        <v/>
      </c>
      <c r="G1899" s="92">
        <f>EXP($C$12+$C$8*_xlfn.NORM.S.INV(RAND()))</f>
        <v/>
      </c>
    </row>
    <row r="1900">
      <c r="F1900">
        <f>F1899+1</f>
        <v/>
      </c>
      <c r="G1900" s="92">
        <f>EXP($C$12+$C$8*_xlfn.NORM.S.INV(RAND()))</f>
        <v/>
      </c>
    </row>
    <row r="1901">
      <c r="F1901">
        <f>F1900+1</f>
        <v/>
      </c>
      <c r="G1901" s="92">
        <f>EXP($C$12+$C$8*_xlfn.NORM.S.INV(RAND()))</f>
        <v/>
      </c>
    </row>
    <row r="1902">
      <c r="F1902">
        <f>F1901+1</f>
        <v/>
      </c>
      <c r="G1902" s="92">
        <f>EXP($C$12+$C$8*_xlfn.NORM.S.INV(RAND()))</f>
        <v/>
      </c>
    </row>
    <row r="1903">
      <c r="F1903">
        <f>F1902+1</f>
        <v/>
      </c>
      <c r="G1903" s="92">
        <f>EXP($C$12+$C$8*_xlfn.NORM.S.INV(RAND()))</f>
        <v/>
      </c>
    </row>
    <row r="1904">
      <c r="F1904">
        <f>F1903+1</f>
        <v/>
      </c>
      <c r="G1904" s="92">
        <f>EXP($C$12+$C$8*_xlfn.NORM.S.INV(RAND()))</f>
        <v/>
      </c>
    </row>
    <row r="1905">
      <c r="F1905">
        <f>F1904+1</f>
        <v/>
      </c>
      <c r="G1905" s="92">
        <f>EXP($C$12+$C$8*_xlfn.NORM.S.INV(RAND()))</f>
        <v/>
      </c>
    </row>
    <row r="1906">
      <c r="F1906">
        <f>F1905+1</f>
        <v/>
      </c>
      <c r="G1906" s="92">
        <f>EXP($C$12+$C$8*_xlfn.NORM.S.INV(RAND()))</f>
        <v/>
      </c>
    </row>
    <row r="1907">
      <c r="F1907">
        <f>F1906+1</f>
        <v/>
      </c>
      <c r="G1907" s="92">
        <f>EXP($C$12+$C$8*_xlfn.NORM.S.INV(RAND()))</f>
        <v/>
      </c>
    </row>
    <row r="1908">
      <c r="F1908">
        <f>F1907+1</f>
        <v/>
      </c>
      <c r="G1908" s="92">
        <f>EXP($C$12+$C$8*_xlfn.NORM.S.INV(RAND()))</f>
        <v/>
      </c>
    </row>
    <row r="1909">
      <c r="F1909">
        <f>F1908+1</f>
        <v/>
      </c>
      <c r="G1909" s="92">
        <f>EXP($C$12+$C$8*_xlfn.NORM.S.INV(RAND()))</f>
        <v/>
      </c>
    </row>
    <row r="1910">
      <c r="F1910">
        <f>F1909+1</f>
        <v/>
      </c>
      <c r="G1910" s="92">
        <f>EXP($C$12+$C$8*_xlfn.NORM.S.INV(RAND()))</f>
        <v/>
      </c>
    </row>
    <row r="1911">
      <c r="F1911">
        <f>F1910+1</f>
        <v/>
      </c>
      <c r="G1911" s="92">
        <f>EXP($C$12+$C$8*_xlfn.NORM.S.INV(RAND()))</f>
        <v/>
      </c>
    </row>
    <row r="1912">
      <c r="F1912">
        <f>F1911+1</f>
        <v/>
      </c>
      <c r="G1912" s="92">
        <f>EXP($C$12+$C$8*_xlfn.NORM.S.INV(RAND()))</f>
        <v/>
      </c>
    </row>
    <row r="1913">
      <c r="F1913">
        <f>F1912+1</f>
        <v/>
      </c>
      <c r="G1913" s="92">
        <f>EXP($C$12+$C$8*_xlfn.NORM.S.INV(RAND()))</f>
        <v/>
      </c>
    </row>
    <row r="1914">
      <c r="F1914">
        <f>F1913+1</f>
        <v/>
      </c>
      <c r="G1914" s="92">
        <f>EXP($C$12+$C$8*_xlfn.NORM.S.INV(RAND()))</f>
        <v/>
      </c>
    </row>
    <row r="1915">
      <c r="F1915">
        <f>F1914+1</f>
        <v/>
      </c>
      <c r="G1915" s="92">
        <f>EXP($C$12+$C$8*_xlfn.NORM.S.INV(RAND()))</f>
        <v/>
      </c>
    </row>
    <row r="1916">
      <c r="F1916">
        <f>F1915+1</f>
        <v/>
      </c>
      <c r="G1916" s="92">
        <f>EXP($C$12+$C$8*_xlfn.NORM.S.INV(RAND()))</f>
        <v/>
      </c>
    </row>
    <row r="1917">
      <c r="F1917">
        <f>F1916+1</f>
        <v/>
      </c>
      <c r="G1917" s="92">
        <f>EXP($C$12+$C$8*_xlfn.NORM.S.INV(RAND()))</f>
        <v/>
      </c>
    </row>
    <row r="1918">
      <c r="F1918">
        <f>F1917+1</f>
        <v/>
      </c>
      <c r="G1918" s="92">
        <f>EXP($C$12+$C$8*_xlfn.NORM.S.INV(RAND()))</f>
        <v/>
      </c>
    </row>
    <row r="1919">
      <c r="F1919">
        <f>F1918+1</f>
        <v/>
      </c>
      <c r="G1919" s="92">
        <f>EXP($C$12+$C$8*_xlfn.NORM.S.INV(RAND()))</f>
        <v/>
      </c>
    </row>
    <row r="1920">
      <c r="F1920">
        <f>F1919+1</f>
        <v/>
      </c>
      <c r="G1920" s="92">
        <f>EXP($C$12+$C$8*_xlfn.NORM.S.INV(RAND()))</f>
        <v/>
      </c>
    </row>
    <row r="1921">
      <c r="F1921">
        <f>F1920+1</f>
        <v/>
      </c>
      <c r="G1921" s="92">
        <f>EXP($C$12+$C$8*_xlfn.NORM.S.INV(RAND()))</f>
        <v/>
      </c>
    </row>
    <row r="1922">
      <c r="F1922">
        <f>F1921+1</f>
        <v/>
      </c>
      <c r="G1922" s="92">
        <f>EXP($C$12+$C$8*_xlfn.NORM.S.INV(RAND()))</f>
        <v/>
      </c>
    </row>
    <row r="1923">
      <c r="F1923">
        <f>F1922+1</f>
        <v/>
      </c>
      <c r="G1923" s="92">
        <f>EXP($C$12+$C$8*_xlfn.NORM.S.INV(RAND()))</f>
        <v/>
      </c>
    </row>
    <row r="1924">
      <c r="F1924">
        <f>F1923+1</f>
        <v/>
      </c>
      <c r="G1924" s="92">
        <f>EXP($C$12+$C$8*_xlfn.NORM.S.INV(RAND()))</f>
        <v/>
      </c>
    </row>
    <row r="1925">
      <c r="F1925">
        <f>F1924+1</f>
        <v/>
      </c>
      <c r="G1925" s="92">
        <f>EXP($C$12+$C$8*_xlfn.NORM.S.INV(RAND()))</f>
        <v/>
      </c>
    </row>
    <row r="1926">
      <c r="F1926">
        <f>F1925+1</f>
        <v/>
      </c>
      <c r="G1926" s="92">
        <f>EXP($C$12+$C$8*_xlfn.NORM.S.INV(RAND()))</f>
        <v/>
      </c>
    </row>
    <row r="1927">
      <c r="F1927">
        <f>F1926+1</f>
        <v/>
      </c>
      <c r="G1927" s="92">
        <f>EXP($C$12+$C$8*_xlfn.NORM.S.INV(RAND()))</f>
        <v/>
      </c>
    </row>
    <row r="1928">
      <c r="F1928">
        <f>F1927+1</f>
        <v/>
      </c>
      <c r="G1928" s="92">
        <f>EXP($C$12+$C$8*_xlfn.NORM.S.INV(RAND()))</f>
        <v/>
      </c>
    </row>
    <row r="1929">
      <c r="F1929">
        <f>F1928+1</f>
        <v/>
      </c>
      <c r="G1929" s="92">
        <f>EXP($C$12+$C$8*_xlfn.NORM.S.INV(RAND()))</f>
        <v/>
      </c>
    </row>
    <row r="1930">
      <c r="F1930">
        <f>F1929+1</f>
        <v/>
      </c>
      <c r="G1930" s="92">
        <f>EXP($C$12+$C$8*_xlfn.NORM.S.INV(RAND()))</f>
        <v/>
      </c>
    </row>
    <row r="1931">
      <c r="F1931">
        <f>F1930+1</f>
        <v/>
      </c>
      <c r="G1931" s="92">
        <f>EXP($C$12+$C$8*_xlfn.NORM.S.INV(RAND()))</f>
        <v/>
      </c>
    </row>
    <row r="1932">
      <c r="F1932">
        <f>F1931+1</f>
        <v/>
      </c>
      <c r="G1932" s="92">
        <f>EXP($C$12+$C$8*_xlfn.NORM.S.INV(RAND()))</f>
        <v/>
      </c>
    </row>
    <row r="1933">
      <c r="F1933">
        <f>F1932+1</f>
        <v/>
      </c>
      <c r="G1933" s="92">
        <f>EXP($C$12+$C$8*_xlfn.NORM.S.INV(RAND()))</f>
        <v/>
      </c>
    </row>
    <row r="1934">
      <c r="F1934">
        <f>F1933+1</f>
        <v/>
      </c>
      <c r="G1934" s="92">
        <f>EXP($C$12+$C$8*_xlfn.NORM.S.INV(RAND()))</f>
        <v/>
      </c>
    </row>
    <row r="1935">
      <c r="F1935">
        <f>F1934+1</f>
        <v/>
      </c>
      <c r="G1935" s="92">
        <f>EXP($C$12+$C$8*_xlfn.NORM.S.INV(RAND()))</f>
        <v/>
      </c>
    </row>
    <row r="1936">
      <c r="F1936">
        <f>F1935+1</f>
        <v/>
      </c>
      <c r="G1936" s="92">
        <f>EXP($C$12+$C$8*_xlfn.NORM.S.INV(RAND()))</f>
        <v/>
      </c>
    </row>
    <row r="1937">
      <c r="F1937">
        <f>F1936+1</f>
        <v/>
      </c>
      <c r="G1937" s="92">
        <f>EXP($C$12+$C$8*_xlfn.NORM.S.INV(RAND()))</f>
        <v/>
      </c>
    </row>
    <row r="1938">
      <c r="F1938">
        <f>F1937+1</f>
        <v/>
      </c>
      <c r="G1938" s="92">
        <f>EXP($C$12+$C$8*_xlfn.NORM.S.INV(RAND()))</f>
        <v/>
      </c>
    </row>
    <row r="1939">
      <c r="F1939">
        <f>F1938+1</f>
        <v/>
      </c>
      <c r="G1939" s="92">
        <f>EXP($C$12+$C$8*_xlfn.NORM.S.INV(RAND()))</f>
        <v/>
      </c>
    </row>
    <row r="1940">
      <c r="F1940">
        <f>F1939+1</f>
        <v/>
      </c>
      <c r="G1940" s="92">
        <f>EXP($C$12+$C$8*_xlfn.NORM.S.INV(RAND()))</f>
        <v/>
      </c>
    </row>
    <row r="1941">
      <c r="F1941">
        <f>F1940+1</f>
        <v/>
      </c>
      <c r="G1941" s="92">
        <f>EXP($C$12+$C$8*_xlfn.NORM.S.INV(RAND()))</f>
        <v/>
      </c>
    </row>
    <row r="1942">
      <c r="F1942">
        <f>F1941+1</f>
        <v/>
      </c>
      <c r="G1942" s="92">
        <f>EXP($C$12+$C$8*_xlfn.NORM.S.INV(RAND()))</f>
        <v/>
      </c>
    </row>
    <row r="1943">
      <c r="F1943">
        <f>F1942+1</f>
        <v/>
      </c>
      <c r="G1943" s="92">
        <f>EXP($C$12+$C$8*_xlfn.NORM.S.INV(RAND()))</f>
        <v/>
      </c>
    </row>
    <row r="1944">
      <c r="F1944">
        <f>F1943+1</f>
        <v/>
      </c>
      <c r="G1944" s="92">
        <f>EXP($C$12+$C$8*_xlfn.NORM.S.INV(RAND()))</f>
        <v/>
      </c>
    </row>
    <row r="1945">
      <c r="F1945">
        <f>F1944+1</f>
        <v/>
      </c>
      <c r="G1945" s="92">
        <f>EXP($C$12+$C$8*_xlfn.NORM.S.INV(RAND()))</f>
        <v/>
      </c>
    </row>
    <row r="1946">
      <c r="F1946">
        <f>F1945+1</f>
        <v/>
      </c>
      <c r="G1946" s="92">
        <f>EXP($C$12+$C$8*_xlfn.NORM.S.INV(RAND()))</f>
        <v/>
      </c>
    </row>
    <row r="1947">
      <c r="F1947">
        <f>F1946+1</f>
        <v/>
      </c>
      <c r="G1947" s="92">
        <f>EXP($C$12+$C$8*_xlfn.NORM.S.INV(RAND()))</f>
        <v/>
      </c>
    </row>
    <row r="1948">
      <c r="F1948">
        <f>F1947+1</f>
        <v/>
      </c>
      <c r="G1948" s="92">
        <f>EXP($C$12+$C$8*_xlfn.NORM.S.INV(RAND()))</f>
        <v/>
      </c>
    </row>
    <row r="1949">
      <c r="F1949">
        <f>F1948+1</f>
        <v/>
      </c>
      <c r="G1949" s="92">
        <f>EXP($C$12+$C$8*_xlfn.NORM.S.INV(RAND()))</f>
        <v/>
      </c>
    </row>
    <row r="1950">
      <c r="F1950">
        <f>F1949+1</f>
        <v/>
      </c>
      <c r="G1950" s="92">
        <f>EXP($C$12+$C$8*_xlfn.NORM.S.INV(RAND()))</f>
        <v/>
      </c>
    </row>
    <row r="1951">
      <c r="F1951">
        <f>F1950+1</f>
        <v/>
      </c>
      <c r="G1951" s="92">
        <f>EXP($C$12+$C$8*_xlfn.NORM.S.INV(RAND()))</f>
        <v/>
      </c>
    </row>
    <row r="1952">
      <c r="F1952">
        <f>F1951+1</f>
        <v/>
      </c>
      <c r="G1952" s="92">
        <f>EXP($C$12+$C$8*_xlfn.NORM.S.INV(RAND()))</f>
        <v/>
      </c>
    </row>
    <row r="1953">
      <c r="F1953">
        <f>F1952+1</f>
        <v/>
      </c>
      <c r="G1953" s="92">
        <f>EXP($C$12+$C$8*_xlfn.NORM.S.INV(RAND()))</f>
        <v/>
      </c>
    </row>
    <row r="1954">
      <c r="F1954">
        <f>F1953+1</f>
        <v/>
      </c>
      <c r="G1954" s="92">
        <f>EXP($C$12+$C$8*_xlfn.NORM.S.INV(RAND()))</f>
        <v/>
      </c>
    </row>
    <row r="1955">
      <c r="F1955">
        <f>F1954+1</f>
        <v/>
      </c>
      <c r="G1955" s="92">
        <f>EXP($C$12+$C$8*_xlfn.NORM.S.INV(RAND()))</f>
        <v/>
      </c>
    </row>
    <row r="1956">
      <c r="F1956">
        <f>F1955+1</f>
        <v/>
      </c>
      <c r="G1956" s="92">
        <f>EXP($C$12+$C$8*_xlfn.NORM.S.INV(RAND()))</f>
        <v/>
      </c>
    </row>
    <row r="1957">
      <c r="F1957">
        <f>F1956+1</f>
        <v/>
      </c>
      <c r="G1957" s="92">
        <f>EXP($C$12+$C$8*_xlfn.NORM.S.INV(RAND()))</f>
        <v/>
      </c>
    </row>
    <row r="1958">
      <c r="F1958">
        <f>F1957+1</f>
        <v/>
      </c>
      <c r="G1958" s="92">
        <f>EXP($C$12+$C$8*_xlfn.NORM.S.INV(RAND()))</f>
        <v/>
      </c>
    </row>
    <row r="1959">
      <c r="F1959">
        <f>F1958+1</f>
        <v/>
      </c>
      <c r="G1959" s="92">
        <f>EXP($C$12+$C$8*_xlfn.NORM.S.INV(RAND()))</f>
        <v/>
      </c>
    </row>
    <row r="1960">
      <c r="F1960">
        <f>F1959+1</f>
        <v/>
      </c>
      <c r="G1960" s="92">
        <f>EXP($C$12+$C$8*_xlfn.NORM.S.INV(RAND()))</f>
        <v/>
      </c>
    </row>
    <row r="1961">
      <c r="F1961">
        <f>F1960+1</f>
        <v/>
      </c>
      <c r="G1961" s="92">
        <f>EXP($C$12+$C$8*_xlfn.NORM.S.INV(RAND()))</f>
        <v/>
      </c>
    </row>
    <row r="1962">
      <c r="F1962">
        <f>F1961+1</f>
        <v/>
      </c>
      <c r="G1962" s="92">
        <f>EXP($C$12+$C$8*_xlfn.NORM.S.INV(RAND()))</f>
        <v/>
      </c>
    </row>
    <row r="1963">
      <c r="F1963">
        <f>F1962+1</f>
        <v/>
      </c>
      <c r="G1963" s="92">
        <f>EXP($C$12+$C$8*_xlfn.NORM.S.INV(RAND()))</f>
        <v/>
      </c>
    </row>
    <row r="1964">
      <c r="F1964">
        <f>F1963+1</f>
        <v/>
      </c>
      <c r="G1964" s="92">
        <f>EXP($C$12+$C$8*_xlfn.NORM.S.INV(RAND()))</f>
        <v/>
      </c>
    </row>
    <row r="1965">
      <c r="F1965">
        <f>F1964+1</f>
        <v/>
      </c>
      <c r="G1965" s="92">
        <f>EXP($C$12+$C$8*_xlfn.NORM.S.INV(RAND()))</f>
        <v/>
      </c>
    </row>
    <row r="1966">
      <c r="F1966">
        <f>F1965+1</f>
        <v/>
      </c>
      <c r="G1966" s="92">
        <f>EXP($C$12+$C$8*_xlfn.NORM.S.INV(RAND()))</f>
        <v/>
      </c>
    </row>
    <row r="1967">
      <c r="F1967">
        <f>F1966+1</f>
        <v/>
      </c>
      <c r="G1967" s="92">
        <f>EXP($C$12+$C$8*_xlfn.NORM.S.INV(RAND()))</f>
        <v/>
      </c>
    </row>
    <row r="1968">
      <c r="F1968">
        <f>F1967+1</f>
        <v/>
      </c>
      <c r="G1968" s="92">
        <f>EXP($C$12+$C$8*_xlfn.NORM.S.INV(RAND()))</f>
        <v/>
      </c>
    </row>
    <row r="1969">
      <c r="F1969">
        <f>F1968+1</f>
        <v/>
      </c>
      <c r="G1969" s="92">
        <f>EXP($C$12+$C$8*_xlfn.NORM.S.INV(RAND()))</f>
        <v/>
      </c>
    </row>
    <row r="1970">
      <c r="F1970">
        <f>F1969+1</f>
        <v/>
      </c>
      <c r="G1970" s="92">
        <f>EXP($C$12+$C$8*_xlfn.NORM.S.INV(RAND()))</f>
        <v/>
      </c>
    </row>
    <row r="1971">
      <c r="F1971">
        <f>F1970+1</f>
        <v/>
      </c>
      <c r="G1971" s="92">
        <f>EXP($C$12+$C$8*_xlfn.NORM.S.INV(RAND()))</f>
        <v/>
      </c>
    </row>
    <row r="1972">
      <c r="F1972">
        <f>F1971+1</f>
        <v/>
      </c>
      <c r="G1972" s="92">
        <f>EXP($C$12+$C$8*_xlfn.NORM.S.INV(RAND()))</f>
        <v/>
      </c>
    </row>
    <row r="1973">
      <c r="F1973">
        <f>F1972+1</f>
        <v/>
      </c>
      <c r="G1973" s="92">
        <f>EXP($C$12+$C$8*_xlfn.NORM.S.INV(RAND()))</f>
        <v/>
      </c>
    </row>
    <row r="1974">
      <c r="F1974">
        <f>F1973+1</f>
        <v/>
      </c>
      <c r="G1974" s="92">
        <f>EXP($C$12+$C$8*_xlfn.NORM.S.INV(RAND()))</f>
        <v/>
      </c>
    </row>
    <row r="1975">
      <c r="F1975">
        <f>F1974+1</f>
        <v/>
      </c>
      <c r="G1975" s="92">
        <f>EXP($C$12+$C$8*_xlfn.NORM.S.INV(RAND()))</f>
        <v/>
      </c>
    </row>
    <row r="1976">
      <c r="F1976">
        <f>F1975+1</f>
        <v/>
      </c>
      <c r="G1976" s="92">
        <f>EXP($C$12+$C$8*_xlfn.NORM.S.INV(RAND()))</f>
        <v/>
      </c>
    </row>
    <row r="1977">
      <c r="F1977">
        <f>F1976+1</f>
        <v/>
      </c>
      <c r="G1977" s="92">
        <f>EXP($C$12+$C$8*_xlfn.NORM.S.INV(RAND()))</f>
        <v/>
      </c>
    </row>
    <row r="1978">
      <c r="F1978">
        <f>F1977+1</f>
        <v/>
      </c>
      <c r="G1978" s="92">
        <f>EXP($C$12+$C$8*_xlfn.NORM.S.INV(RAND()))</f>
        <v/>
      </c>
    </row>
    <row r="1979">
      <c r="F1979">
        <f>F1978+1</f>
        <v/>
      </c>
      <c r="G1979" s="92">
        <f>EXP($C$12+$C$8*_xlfn.NORM.S.INV(RAND()))</f>
        <v/>
      </c>
    </row>
    <row r="1980">
      <c r="F1980">
        <f>F1979+1</f>
        <v/>
      </c>
      <c r="G1980" s="92">
        <f>EXP($C$12+$C$8*_xlfn.NORM.S.INV(RAND()))</f>
        <v/>
      </c>
    </row>
    <row r="1981">
      <c r="F1981">
        <f>F1980+1</f>
        <v/>
      </c>
      <c r="G1981" s="92">
        <f>EXP($C$12+$C$8*_xlfn.NORM.S.INV(RAND()))</f>
        <v/>
      </c>
    </row>
    <row r="1982">
      <c r="F1982">
        <f>F1981+1</f>
        <v/>
      </c>
      <c r="G1982" s="92">
        <f>EXP($C$12+$C$8*_xlfn.NORM.S.INV(RAND()))</f>
        <v/>
      </c>
    </row>
    <row r="1983">
      <c r="F1983">
        <f>F1982+1</f>
        <v/>
      </c>
      <c r="G1983" s="92">
        <f>EXP($C$12+$C$8*_xlfn.NORM.S.INV(RAND()))</f>
        <v/>
      </c>
    </row>
    <row r="1984">
      <c r="F1984">
        <f>F1983+1</f>
        <v/>
      </c>
      <c r="G1984" s="92">
        <f>EXP($C$12+$C$8*_xlfn.NORM.S.INV(RAND()))</f>
        <v/>
      </c>
    </row>
    <row r="1985">
      <c r="F1985">
        <f>F1984+1</f>
        <v/>
      </c>
      <c r="G1985" s="92">
        <f>EXP($C$12+$C$8*_xlfn.NORM.S.INV(RAND()))</f>
        <v/>
      </c>
    </row>
    <row r="1986">
      <c r="F1986">
        <f>F1985+1</f>
        <v/>
      </c>
      <c r="G1986" s="92">
        <f>EXP($C$12+$C$8*_xlfn.NORM.S.INV(RAND()))</f>
        <v/>
      </c>
    </row>
    <row r="1987">
      <c r="F1987">
        <f>F1986+1</f>
        <v/>
      </c>
      <c r="G1987" s="92">
        <f>EXP($C$12+$C$8*_xlfn.NORM.S.INV(RAND()))</f>
        <v/>
      </c>
    </row>
    <row r="1988">
      <c r="F1988">
        <f>F1987+1</f>
        <v/>
      </c>
      <c r="G1988" s="92">
        <f>EXP($C$12+$C$8*_xlfn.NORM.S.INV(RAND()))</f>
        <v/>
      </c>
    </row>
    <row r="1989">
      <c r="F1989">
        <f>F1988+1</f>
        <v/>
      </c>
      <c r="G1989" s="92">
        <f>EXP($C$12+$C$8*_xlfn.NORM.S.INV(RAND()))</f>
        <v/>
      </c>
    </row>
    <row r="1990">
      <c r="F1990">
        <f>F1989+1</f>
        <v/>
      </c>
      <c r="G1990" s="92">
        <f>EXP($C$12+$C$8*_xlfn.NORM.S.INV(RAND()))</f>
        <v/>
      </c>
    </row>
    <row r="1991">
      <c r="F1991">
        <f>F1990+1</f>
        <v/>
      </c>
      <c r="G1991" s="92">
        <f>EXP($C$12+$C$8*_xlfn.NORM.S.INV(RAND()))</f>
        <v/>
      </c>
    </row>
    <row r="1992">
      <c r="F1992">
        <f>F1991+1</f>
        <v/>
      </c>
      <c r="G1992" s="92">
        <f>EXP($C$12+$C$8*_xlfn.NORM.S.INV(RAND()))</f>
        <v/>
      </c>
    </row>
    <row r="1993">
      <c r="F1993">
        <f>F1992+1</f>
        <v/>
      </c>
      <c r="G1993" s="92">
        <f>EXP($C$12+$C$8*_xlfn.NORM.S.INV(RAND()))</f>
        <v/>
      </c>
    </row>
    <row r="1994">
      <c r="F1994">
        <f>F1993+1</f>
        <v/>
      </c>
      <c r="G1994" s="92">
        <f>EXP($C$12+$C$8*_xlfn.NORM.S.INV(RAND()))</f>
        <v/>
      </c>
    </row>
    <row r="1995">
      <c r="F1995">
        <f>F1994+1</f>
        <v/>
      </c>
      <c r="G1995" s="92">
        <f>EXP($C$12+$C$8*_xlfn.NORM.S.INV(RAND()))</f>
        <v/>
      </c>
    </row>
    <row r="1996">
      <c r="F1996">
        <f>F1995+1</f>
        <v/>
      </c>
      <c r="G1996" s="92">
        <f>EXP($C$12+$C$8*_xlfn.NORM.S.INV(RAND()))</f>
        <v/>
      </c>
    </row>
    <row r="1997">
      <c r="F1997">
        <f>F1996+1</f>
        <v/>
      </c>
      <c r="G1997" s="92">
        <f>EXP($C$12+$C$8*_xlfn.NORM.S.INV(RAND()))</f>
        <v/>
      </c>
    </row>
    <row r="1998">
      <c r="F1998">
        <f>F1997+1</f>
        <v/>
      </c>
      <c r="G1998" s="92">
        <f>EXP($C$12+$C$8*_xlfn.NORM.S.INV(RAND()))</f>
        <v/>
      </c>
    </row>
    <row r="1999">
      <c r="F1999">
        <f>F1998+1</f>
        <v/>
      </c>
      <c r="G1999" s="92">
        <f>EXP($C$12+$C$8*_xlfn.NORM.S.INV(RAND()))</f>
        <v/>
      </c>
    </row>
    <row r="2000">
      <c r="F2000">
        <f>F1999+1</f>
        <v/>
      </c>
      <c r="G2000" s="92">
        <f>EXP($C$12+$C$8*_xlfn.NORM.S.INV(RAND()))</f>
        <v/>
      </c>
    </row>
    <row r="2001">
      <c r="F2001">
        <f>F2000+1</f>
        <v/>
      </c>
      <c r="G2001" s="92">
        <f>EXP($C$12+$C$8*_xlfn.NORM.S.INV(RAND()))</f>
        <v/>
      </c>
    </row>
    <row r="2002">
      <c r="F2002">
        <f>F2001+1</f>
        <v/>
      </c>
      <c r="G2002" s="92">
        <f>EXP($C$12+$C$8*_xlfn.NORM.S.INV(RAND()))</f>
        <v/>
      </c>
    </row>
    <row r="2003">
      <c r="F2003">
        <f>F2002+1</f>
        <v/>
      </c>
      <c r="G2003" s="92">
        <f>EXP($C$12+$C$8*_xlfn.NORM.S.INV(RAND()))</f>
        <v/>
      </c>
    </row>
    <row r="2004">
      <c r="F2004">
        <f>F2003+1</f>
        <v/>
      </c>
      <c r="G2004" s="92">
        <f>EXP($C$12+$C$8*_xlfn.NORM.S.INV(RAND()))</f>
        <v/>
      </c>
    </row>
    <row r="2005">
      <c r="F2005">
        <f>F2004+1</f>
        <v/>
      </c>
      <c r="G2005" s="92">
        <f>EXP($C$12+$C$8*_xlfn.NORM.S.INV(RAND()))</f>
        <v/>
      </c>
    </row>
    <row r="2006">
      <c r="F2006">
        <f>F2005+1</f>
        <v/>
      </c>
      <c r="G2006" s="92">
        <f>EXP($C$12+$C$8*_xlfn.NORM.S.INV(RAND()))</f>
        <v/>
      </c>
    </row>
    <row r="2007">
      <c r="F2007">
        <f>F2006+1</f>
        <v/>
      </c>
      <c r="G2007" s="92">
        <f>EXP($C$12+$C$8*_xlfn.NORM.S.INV(RAND()))</f>
        <v/>
      </c>
    </row>
    <row r="2008">
      <c r="F2008">
        <f>F2007+1</f>
        <v/>
      </c>
      <c r="G2008" s="92">
        <f>EXP($C$12+$C$8*_xlfn.NORM.S.INV(RAND()))</f>
        <v/>
      </c>
    </row>
    <row r="2009">
      <c r="F2009">
        <f>F2008+1</f>
        <v/>
      </c>
      <c r="G2009" s="92">
        <f>EXP($C$12+$C$8*_xlfn.NORM.S.INV(RAND()))</f>
        <v/>
      </c>
    </row>
    <row r="2010">
      <c r="F2010">
        <f>F2009+1</f>
        <v/>
      </c>
      <c r="G2010" s="92">
        <f>EXP($C$12+$C$8*_xlfn.NORM.S.INV(RAND()))</f>
        <v/>
      </c>
    </row>
    <row r="2011">
      <c r="F2011">
        <f>F2010+1</f>
        <v/>
      </c>
      <c r="G2011" s="92">
        <f>EXP($C$12+$C$8*_xlfn.NORM.S.INV(RAND()))</f>
        <v/>
      </c>
    </row>
    <row r="2012">
      <c r="F2012">
        <f>F2011+1</f>
        <v/>
      </c>
      <c r="G2012" s="92">
        <f>EXP($C$12+$C$8*_xlfn.NORM.S.INV(RAND()))</f>
        <v/>
      </c>
    </row>
    <row r="2013">
      <c r="F2013">
        <f>F2012+1</f>
        <v/>
      </c>
      <c r="G2013" s="92">
        <f>EXP($C$12+$C$8*_xlfn.NORM.S.INV(RAND()))</f>
        <v/>
      </c>
    </row>
    <row r="2014">
      <c r="F2014">
        <f>F2013+1</f>
        <v/>
      </c>
      <c r="G2014" s="92">
        <f>EXP($C$12+$C$8*_xlfn.NORM.S.INV(RAND()))</f>
        <v/>
      </c>
    </row>
    <row r="2015">
      <c r="F2015">
        <f>F2014+1</f>
        <v/>
      </c>
      <c r="G2015" s="92">
        <f>EXP($C$12+$C$8*_xlfn.NORM.S.INV(RAND()))</f>
        <v/>
      </c>
    </row>
    <row r="2016">
      <c r="F2016">
        <f>F2015+1</f>
        <v/>
      </c>
      <c r="G2016" s="92">
        <f>EXP($C$12+$C$8*_xlfn.NORM.S.INV(RAND()))</f>
        <v/>
      </c>
    </row>
    <row r="2017">
      <c r="F2017">
        <f>F2016+1</f>
        <v/>
      </c>
      <c r="G2017" s="92">
        <f>EXP($C$12+$C$8*_xlfn.NORM.S.INV(RAND()))</f>
        <v/>
      </c>
    </row>
    <row r="2018">
      <c r="F2018">
        <f>F2017+1</f>
        <v/>
      </c>
      <c r="G2018" s="92">
        <f>EXP($C$12+$C$8*_xlfn.NORM.S.INV(RAND()))</f>
        <v/>
      </c>
    </row>
    <row r="2019">
      <c r="F2019">
        <f>F2018+1</f>
        <v/>
      </c>
      <c r="G2019" s="92">
        <f>EXP($C$12+$C$8*_xlfn.NORM.S.INV(RAND()))</f>
        <v/>
      </c>
    </row>
    <row r="2020">
      <c r="F2020">
        <f>F2019+1</f>
        <v/>
      </c>
      <c r="G2020" s="92">
        <f>EXP($C$12+$C$8*_xlfn.NORM.S.INV(RAND()))</f>
        <v/>
      </c>
    </row>
    <row r="2021">
      <c r="F2021">
        <f>F2020+1</f>
        <v/>
      </c>
      <c r="G2021" s="92">
        <f>EXP($C$12+$C$8*_xlfn.NORM.S.INV(RAND()))</f>
        <v/>
      </c>
    </row>
    <row r="2022">
      <c r="F2022">
        <f>F2021+1</f>
        <v/>
      </c>
      <c r="G2022" s="92">
        <f>EXP($C$12+$C$8*_xlfn.NORM.S.INV(RAND()))</f>
        <v/>
      </c>
    </row>
    <row r="2023">
      <c r="F2023">
        <f>F2022+1</f>
        <v/>
      </c>
      <c r="G2023" s="92">
        <f>EXP($C$12+$C$8*_xlfn.NORM.S.INV(RAND()))</f>
        <v/>
      </c>
    </row>
    <row r="2024">
      <c r="F2024">
        <f>F2023+1</f>
        <v/>
      </c>
      <c r="G2024" s="92">
        <f>EXP($C$12+$C$8*_xlfn.NORM.S.INV(RAND()))</f>
        <v/>
      </c>
    </row>
    <row r="2025">
      <c r="F2025">
        <f>F2024+1</f>
        <v/>
      </c>
      <c r="G2025" s="92">
        <f>EXP($C$12+$C$8*_xlfn.NORM.S.INV(RAND()))</f>
        <v/>
      </c>
    </row>
    <row r="2026">
      <c r="F2026">
        <f>F2025+1</f>
        <v/>
      </c>
      <c r="G2026" s="92">
        <f>EXP($C$12+$C$8*_xlfn.NORM.S.INV(RAND()))</f>
        <v/>
      </c>
    </row>
    <row r="2027">
      <c r="F2027">
        <f>F2026+1</f>
        <v/>
      </c>
      <c r="G2027" s="92">
        <f>EXP($C$12+$C$8*_xlfn.NORM.S.INV(RAND()))</f>
        <v/>
      </c>
    </row>
    <row r="2028">
      <c r="F2028">
        <f>F2027+1</f>
        <v/>
      </c>
      <c r="G2028" s="92">
        <f>EXP($C$12+$C$8*_xlfn.NORM.S.INV(RAND()))</f>
        <v/>
      </c>
    </row>
    <row r="2029">
      <c r="F2029">
        <f>F2028+1</f>
        <v/>
      </c>
      <c r="G2029" s="92">
        <f>EXP($C$12+$C$8*_xlfn.NORM.S.INV(RAND()))</f>
        <v/>
      </c>
    </row>
    <row r="2030">
      <c r="F2030">
        <f>F2029+1</f>
        <v/>
      </c>
      <c r="G2030" s="92">
        <f>EXP($C$12+$C$8*_xlfn.NORM.S.INV(RAND()))</f>
        <v/>
      </c>
    </row>
    <row r="2031">
      <c r="F2031">
        <f>F2030+1</f>
        <v/>
      </c>
      <c r="G2031" s="92">
        <f>EXP($C$12+$C$8*_xlfn.NORM.S.INV(RAND()))</f>
        <v/>
      </c>
    </row>
    <row r="2032">
      <c r="F2032">
        <f>F2031+1</f>
        <v/>
      </c>
      <c r="G2032" s="92">
        <f>EXP($C$12+$C$8*_xlfn.NORM.S.INV(RAND()))</f>
        <v/>
      </c>
    </row>
    <row r="2033">
      <c r="F2033">
        <f>F2032+1</f>
        <v/>
      </c>
      <c r="G2033" s="92">
        <f>EXP($C$12+$C$8*_xlfn.NORM.S.INV(RAND()))</f>
        <v/>
      </c>
    </row>
    <row r="2034">
      <c r="F2034">
        <f>F2033+1</f>
        <v/>
      </c>
      <c r="G2034" s="92">
        <f>EXP($C$12+$C$8*_xlfn.NORM.S.INV(RAND()))</f>
        <v/>
      </c>
    </row>
    <row r="2035">
      <c r="F2035">
        <f>F2034+1</f>
        <v/>
      </c>
      <c r="G2035" s="92">
        <f>EXP($C$12+$C$8*_xlfn.NORM.S.INV(RAND()))</f>
        <v/>
      </c>
    </row>
    <row r="2036">
      <c r="F2036">
        <f>F2035+1</f>
        <v/>
      </c>
      <c r="G2036" s="92">
        <f>EXP($C$12+$C$8*_xlfn.NORM.S.INV(RAND()))</f>
        <v/>
      </c>
    </row>
    <row r="2037">
      <c r="F2037">
        <f>F2036+1</f>
        <v/>
      </c>
      <c r="G2037" s="92">
        <f>EXP($C$12+$C$8*_xlfn.NORM.S.INV(RAND()))</f>
        <v/>
      </c>
    </row>
    <row r="2038">
      <c r="F2038">
        <f>F2037+1</f>
        <v/>
      </c>
      <c r="G2038" s="92">
        <f>EXP($C$12+$C$8*_xlfn.NORM.S.INV(RAND()))</f>
        <v/>
      </c>
    </row>
    <row r="2039">
      <c r="F2039">
        <f>F2038+1</f>
        <v/>
      </c>
      <c r="G2039" s="92">
        <f>EXP($C$12+$C$8*_xlfn.NORM.S.INV(RAND()))</f>
        <v/>
      </c>
    </row>
    <row r="2040">
      <c r="F2040">
        <f>F2039+1</f>
        <v/>
      </c>
      <c r="G2040" s="92">
        <f>EXP($C$12+$C$8*_xlfn.NORM.S.INV(RAND()))</f>
        <v/>
      </c>
    </row>
    <row r="2041">
      <c r="F2041">
        <f>F2040+1</f>
        <v/>
      </c>
      <c r="G2041" s="92">
        <f>EXP($C$12+$C$8*_xlfn.NORM.S.INV(RAND()))</f>
        <v/>
      </c>
    </row>
    <row r="2042">
      <c r="F2042">
        <f>F2041+1</f>
        <v/>
      </c>
      <c r="G2042" s="92">
        <f>EXP($C$12+$C$8*_xlfn.NORM.S.INV(RAND()))</f>
        <v/>
      </c>
    </row>
    <row r="2043">
      <c r="F2043">
        <f>F2042+1</f>
        <v/>
      </c>
      <c r="G2043" s="92">
        <f>EXP($C$12+$C$8*_xlfn.NORM.S.INV(RAND()))</f>
        <v/>
      </c>
    </row>
    <row r="2044">
      <c r="F2044">
        <f>F2043+1</f>
        <v/>
      </c>
      <c r="G2044" s="92">
        <f>EXP($C$12+$C$8*_xlfn.NORM.S.INV(RAND()))</f>
        <v/>
      </c>
    </row>
    <row r="2045">
      <c r="F2045">
        <f>F2044+1</f>
        <v/>
      </c>
      <c r="G2045" s="92">
        <f>EXP($C$12+$C$8*_xlfn.NORM.S.INV(RAND()))</f>
        <v/>
      </c>
    </row>
    <row r="2046">
      <c r="F2046">
        <f>F2045+1</f>
        <v/>
      </c>
      <c r="G2046" s="92">
        <f>EXP($C$12+$C$8*_xlfn.NORM.S.INV(RAND()))</f>
        <v/>
      </c>
    </row>
    <row r="2047">
      <c r="F2047">
        <f>F2046+1</f>
        <v/>
      </c>
      <c r="G2047" s="92">
        <f>EXP($C$12+$C$8*_xlfn.NORM.S.INV(RAND()))</f>
        <v/>
      </c>
    </row>
    <row r="2048">
      <c r="F2048">
        <f>F2047+1</f>
        <v/>
      </c>
      <c r="G2048" s="92">
        <f>EXP($C$12+$C$8*_xlfn.NORM.S.INV(RAND()))</f>
        <v/>
      </c>
    </row>
    <row r="2049">
      <c r="F2049">
        <f>F2048+1</f>
        <v/>
      </c>
      <c r="G2049" s="92">
        <f>EXP($C$12+$C$8*_xlfn.NORM.S.INV(RAND()))</f>
        <v/>
      </c>
    </row>
    <row r="2050">
      <c r="F2050">
        <f>F2049+1</f>
        <v/>
      </c>
      <c r="G2050" s="92">
        <f>EXP($C$12+$C$8*_xlfn.NORM.S.INV(RAND()))</f>
        <v/>
      </c>
    </row>
    <row r="2051">
      <c r="F2051">
        <f>F2050+1</f>
        <v/>
      </c>
      <c r="G2051" s="92">
        <f>EXP($C$12+$C$8*_xlfn.NORM.S.INV(RAND()))</f>
        <v/>
      </c>
    </row>
    <row r="2052">
      <c r="F2052">
        <f>F2051+1</f>
        <v/>
      </c>
      <c r="G2052" s="92">
        <f>EXP($C$12+$C$8*_xlfn.NORM.S.INV(RAND()))</f>
        <v/>
      </c>
    </row>
    <row r="2053">
      <c r="F2053">
        <f>F2052+1</f>
        <v/>
      </c>
      <c r="G2053" s="92">
        <f>EXP($C$12+$C$8*_xlfn.NORM.S.INV(RAND()))</f>
        <v/>
      </c>
    </row>
    <row r="2054">
      <c r="F2054">
        <f>F2053+1</f>
        <v/>
      </c>
      <c r="G2054" s="92">
        <f>EXP($C$12+$C$8*_xlfn.NORM.S.INV(RAND()))</f>
        <v/>
      </c>
    </row>
    <row r="2055">
      <c r="F2055">
        <f>F2054+1</f>
        <v/>
      </c>
      <c r="G2055" s="92">
        <f>EXP($C$12+$C$8*_xlfn.NORM.S.INV(RAND()))</f>
        <v/>
      </c>
    </row>
    <row r="2056">
      <c r="F2056">
        <f>F2055+1</f>
        <v/>
      </c>
      <c r="G2056" s="92">
        <f>EXP($C$12+$C$8*_xlfn.NORM.S.INV(RAND()))</f>
        <v/>
      </c>
    </row>
    <row r="2057">
      <c r="F2057">
        <f>F2056+1</f>
        <v/>
      </c>
      <c r="G2057" s="92">
        <f>EXP($C$12+$C$8*_xlfn.NORM.S.INV(RAND()))</f>
        <v/>
      </c>
    </row>
    <row r="2058">
      <c r="F2058">
        <f>F2057+1</f>
        <v/>
      </c>
      <c r="G2058" s="92">
        <f>EXP($C$12+$C$8*_xlfn.NORM.S.INV(RAND()))</f>
        <v/>
      </c>
    </row>
    <row r="2059">
      <c r="F2059">
        <f>F2058+1</f>
        <v/>
      </c>
      <c r="G2059" s="92">
        <f>EXP($C$12+$C$8*_xlfn.NORM.S.INV(RAND()))</f>
        <v/>
      </c>
    </row>
    <row r="2060">
      <c r="F2060">
        <f>F2059+1</f>
        <v/>
      </c>
      <c r="G2060" s="92">
        <f>EXP($C$12+$C$8*_xlfn.NORM.S.INV(RAND()))</f>
        <v/>
      </c>
    </row>
    <row r="2061">
      <c r="F2061">
        <f>F2060+1</f>
        <v/>
      </c>
      <c r="G2061" s="92">
        <f>EXP($C$12+$C$8*_xlfn.NORM.S.INV(RAND()))</f>
        <v/>
      </c>
    </row>
    <row r="2062">
      <c r="F2062">
        <f>F2061+1</f>
        <v/>
      </c>
      <c r="G2062" s="92">
        <f>EXP($C$12+$C$8*_xlfn.NORM.S.INV(RAND()))</f>
        <v/>
      </c>
    </row>
    <row r="2063">
      <c r="F2063">
        <f>F2062+1</f>
        <v/>
      </c>
      <c r="G2063" s="92">
        <f>EXP($C$12+$C$8*_xlfn.NORM.S.INV(RAND()))</f>
        <v/>
      </c>
    </row>
    <row r="2064">
      <c r="F2064">
        <f>F2063+1</f>
        <v/>
      </c>
      <c r="G2064" s="92">
        <f>EXP($C$12+$C$8*_xlfn.NORM.S.INV(RAND()))</f>
        <v/>
      </c>
    </row>
    <row r="2065">
      <c r="F2065">
        <f>F2064+1</f>
        <v/>
      </c>
      <c r="G2065" s="92">
        <f>EXP($C$12+$C$8*_xlfn.NORM.S.INV(RAND()))</f>
        <v/>
      </c>
    </row>
    <row r="2066">
      <c r="F2066">
        <f>F2065+1</f>
        <v/>
      </c>
      <c r="G2066" s="92">
        <f>EXP($C$12+$C$8*_xlfn.NORM.S.INV(RAND()))</f>
        <v/>
      </c>
    </row>
    <row r="2067">
      <c r="F2067">
        <f>F2066+1</f>
        <v/>
      </c>
      <c r="G2067" s="92">
        <f>EXP($C$12+$C$8*_xlfn.NORM.S.INV(RAND()))</f>
        <v/>
      </c>
    </row>
    <row r="2068">
      <c r="F2068">
        <f>F2067+1</f>
        <v/>
      </c>
      <c r="G2068" s="92">
        <f>EXP($C$12+$C$8*_xlfn.NORM.S.INV(RAND()))</f>
        <v/>
      </c>
    </row>
    <row r="2069">
      <c r="F2069">
        <f>F2068+1</f>
        <v/>
      </c>
      <c r="G2069" s="92">
        <f>EXP($C$12+$C$8*_xlfn.NORM.S.INV(RAND()))</f>
        <v/>
      </c>
    </row>
    <row r="2070">
      <c r="F2070">
        <f>F2069+1</f>
        <v/>
      </c>
      <c r="G2070" s="92">
        <f>EXP($C$12+$C$8*_xlfn.NORM.S.INV(RAND()))</f>
        <v/>
      </c>
    </row>
    <row r="2071">
      <c r="F2071">
        <f>F2070+1</f>
        <v/>
      </c>
      <c r="G2071" s="92">
        <f>EXP($C$12+$C$8*_xlfn.NORM.S.INV(RAND()))</f>
        <v/>
      </c>
    </row>
    <row r="2072">
      <c r="F2072">
        <f>F2071+1</f>
        <v/>
      </c>
      <c r="G2072" s="92">
        <f>EXP($C$12+$C$8*_xlfn.NORM.S.INV(RAND()))</f>
        <v/>
      </c>
    </row>
    <row r="2073">
      <c r="F2073">
        <f>F2072+1</f>
        <v/>
      </c>
      <c r="G2073" s="92">
        <f>EXP($C$12+$C$8*_xlfn.NORM.S.INV(RAND()))</f>
        <v/>
      </c>
    </row>
    <row r="2074">
      <c r="F2074">
        <f>F2073+1</f>
        <v/>
      </c>
      <c r="G2074" s="92">
        <f>EXP($C$12+$C$8*_xlfn.NORM.S.INV(RAND()))</f>
        <v/>
      </c>
    </row>
    <row r="2075">
      <c r="F2075">
        <f>F2074+1</f>
        <v/>
      </c>
      <c r="G2075" s="92">
        <f>EXP($C$12+$C$8*_xlfn.NORM.S.INV(RAND()))</f>
        <v/>
      </c>
    </row>
    <row r="2076">
      <c r="F2076">
        <f>F2075+1</f>
        <v/>
      </c>
      <c r="G2076" s="92">
        <f>EXP($C$12+$C$8*_xlfn.NORM.S.INV(RAND()))</f>
        <v/>
      </c>
    </row>
    <row r="2077">
      <c r="F2077">
        <f>F2076+1</f>
        <v/>
      </c>
      <c r="G2077" s="92">
        <f>EXP($C$12+$C$8*_xlfn.NORM.S.INV(RAND()))</f>
        <v/>
      </c>
    </row>
    <row r="2078">
      <c r="F2078">
        <f>F2077+1</f>
        <v/>
      </c>
      <c r="G2078" s="92">
        <f>EXP($C$12+$C$8*_xlfn.NORM.S.INV(RAND()))</f>
        <v/>
      </c>
    </row>
    <row r="2079">
      <c r="F2079">
        <f>F2078+1</f>
        <v/>
      </c>
      <c r="G2079" s="92">
        <f>EXP($C$12+$C$8*_xlfn.NORM.S.INV(RAND()))</f>
        <v/>
      </c>
    </row>
    <row r="2080">
      <c r="F2080">
        <f>F2079+1</f>
        <v/>
      </c>
      <c r="G2080" s="92">
        <f>EXP($C$12+$C$8*_xlfn.NORM.S.INV(RAND()))</f>
        <v/>
      </c>
    </row>
    <row r="2081">
      <c r="F2081">
        <f>F2080+1</f>
        <v/>
      </c>
      <c r="G2081" s="92">
        <f>EXP($C$12+$C$8*_xlfn.NORM.S.INV(RAND()))</f>
        <v/>
      </c>
    </row>
    <row r="2082">
      <c r="F2082">
        <f>F2081+1</f>
        <v/>
      </c>
      <c r="G2082" s="92">
        <f>EXP($C$12+$C$8*_xlfn.NORM.S.INV(RAND()))</f>
        <v/>
      </c>
    </row>
    <row r="2083">
      <c r="F2083">
        <f>F2082+1</f>
        <v/>
      </c>
      <c r="G2083" s="92">
        <f>EXP($C$12+$C$8*_xlfn.NORM.S.INV(RAND()))</f>
        <v/>
      </c>
    </row>
    <row r="2084">
      <c r="F2084">
        <f>F2083+1</f>
        <v/>
      </c>
      <c r="G2084" s="92">
        <f>EXP($C$12+$C$8*_xlfn.NORM.S.INV(RAND()))</f>
        <v/>
      </c>
    </row>
    <row r="2085">
      <c r="F2085">
        <f>F2084+1</f>
        <v/>
      </c>
      <c r="G2085" s="92">
        <f>EXP($C$12+$C$8*_xlfn.NORM.S.INV(RAND()))</f>
        <v/>
      </c>
    </row>
    <row r="2086">
      <c r="F2086">
        <f>F2085+1</f>
        <v/>
      </c>
      <c r="G2086" s="92">
        <f>EXP($C$12+$C$8*_xlfn.NORM.S.INV(RAND()))</f>
        <v/>
      </c>
    </row>
    <row r="2087">
      <c r="F2087">
        <f>F2086+1</f>
        <v/>
      </c>
      <c r="G2087" s="92">
        <f>EXP($C$12+$C$8*_xlfn.NORM.S.INV(RAND()))</f>
        <v/>
      </c>
    </row>
    <row r="2088">
      <c r="F2088">
        <f>F2087+1</f>
        <v/>
      </c>
      <c r="G2088" s="92">
        <f>EXP($C$12+$C$8*_xlfn.NORM.S.INV(RAND()))</f>
        <v/>
      </c>
    </row>
    <row r="2089">
      <c r="F2089">
        <f>F2088+1</f>
        <v/>
      </c>
      <c r="G2089" s="92">
        <f>EXP($C$12+$C$8*_xlfn.NORM.S.INV(RAND()))</f>
        <v/>
      </c>
    </row>
    <row r="2090">
      <c r="F2090">
        <f>F2089+1</f>
        <v/>
      </c>
      <c r="G2090" s="92">
        <f>EXP($C$12+$C$8*_xlfn.NORM.S.INV(RAND()))</f>
        <v/>
      </c>
    </row>
    <row r="2091">
      <c r="F2091">
        <f>F2090+1</f>
        <v/>
      </c>
      <c r="G2091" s="92">
        <f>EXP($C$12+$C$8*_xlfn.NORM.S.INV(RAND()))</f>
        <v/>
      </c>
    </row>
    <row r="2092">
      <c r="F2092">
        <f>F2091+1</f>
        <v/>
      </c>
      <c r="G2092" s="92">
        <f>EXP($C$12+$C$8*_xlfn.NORM.S.INV(RAND()))</f>
        <v/>
      </c>
    </row>
    <row r="2093">
      <c r="F2093">
        <f>F2092+1</f>
        <v/>
      </c>
      <c r="G2093" s="92">
        <f>EXP($C$12+$C$8*_xlfn.NORM.S.INV(RAND()))</f>
        <v/>
      </c>
    </row>
    <row r="2094">
      <c r="F2094">
        <f>F2093+1</f>
        <v/>
      </c>
      <c r="G2094" s="92">
        <f>EXP($C$12+$C$8*_xlfn.NORM.S.INV(RAND()))</f>
        <v/>
      </c>
    </row>
    <row r="2095">
      <c r="F2095">
        <f>F2094+1</f>
        <v/>
      </c>
      <c r="G2095" s="92">
        <f>EXP($C$12+$C$8*_xlfn.NORM.S.INV(RAND()))</f>
        <v/>
      </c>
    </row>
    <row r="2096">
      <c r="F2096">
        <f>F2095+1</f>
        <v/>
      </c>
      <c r="G2096" s="92">
        <f>EXP($C$12+$C$8*_xlfn.NORM.S.INV(RAND()))</f>
        <v/>
      </c>
    </row>
    <row r="2097">
      <c r="F2097">
        <f>F2096+1</f>
        <v/>
      </c>
      <c r="G2097" s="92">
        <f>EXP($C$12+$C$8*_xlfn.NORM.S.INV(RAND()))</f>
        <v/>
      </c>
    </row>
    <row r="2098">
      <c r="F2098">
        <f>F2097+1</f>
        <v/>
      </c>
      <c r="G2098" s="92">
        <f>EXP($C$12+$C$8*_xlfn.NORM.S.INV(RAND()))</f>
        <v/>
      </c>
    </row>
    <row r="2099">
      <c r="F2099">
        <f>F2098+1</f>
        <v/>
      </c>
      <c r="G2099" s="92">
        <f>EXP($C$12+$C$8*_xlfn.NORM.S.INV(RAND()))</f>
        <v/>
      </c>
    </row>
    <row r="2100">
      <c r="F2100">
        <f>F2099+1</f>
        <v/>
      </c>
      <c r="G2100" s="92">
        <f>EXP($C$12+$C$8*_xlfn.NORM.S.INV(RAND()))</f>
        <v/>
      </c>
    </row>
    <row r="2101">
      <c r="F2101">
        <f>F2100+1</f>
        <v/>
      </c>
      <c r="G2101" s="92">
        <f>EXP($C$12+$C$8*_xlfn.NORM.S.INV(RAND()))</f>
        <v/>
      </c>
    </row>
    <row r="2102">
      <c r="F2102">
        <f>F2101+1</f>
        <v/>
      </c>
      <c r="G2102" s="92">
        <f>EXP($C$12+$C$8*_xlfn.NORM.S.INV(RAND()))</f>
        <v/>
      </c>
    </row>
    <row r="2103">
      <c r="F2103">
        <f>F2102+1</f>
        <v/>
      </c>
      <c r="G2103" s="92">
        <f>EXP($C$12+$C$8*_xlfn.NORM.S.INV(RAND()))</f>
        <v/>
      </c>
    </row>
    <row r="2104">
      <c r="F2104">
        <f>F2103+1</f>
        <v/>
      </c>
      <c r="G2104" s="92">
        <f>EXP($C$12+$C$8*_xlfn.NORM.S.INV(RAND()))</f>
        <v/>
      </c>
    </row>
    <row r="2105">
      <c r="F2105">
        <f>F2104+1</f>
        <v/>
      </c>
      <c r="G2105" s="92">
        <f>EXP($C$12+$C$8*_xlfn.NORM.S.INV(RAND()))</f>
        <v/>
      </c>
    </row>
    <row r="2106">
      <c r="F2106">
        <f>F2105+1</f>
        <v/>
      </c>
      <c r="G2106" s="92">
        <f>EXP($C$12+$C$8*_xlfn.NORM.S.INV(RAND()))</f>
        <v/>
      </c>
    </row>
    <row r="2107">
      <c r="F2107">
        <f>F2106+1</f>
        <v/>
      </c>
      <c r="G2107" s="92">
        <f>EXP($C$12+$C$8*_xlfn.NORM.S.INV(RAND()))</f>
        <v/>
      </c>
    </row>
    <row r="2108">
      <c r="F2108">
        <f>F2107+1</f>
        <v/>
      </c>
      <c r="G2108" s="92">
        <f>EXP($C$12+$C$8*_xlfn.NORM.S.INV(RAND()))</f>
        <v/>
      </c>
    </row>
    <row r="2109">
      <c r="F2109">
        <f>F2108+1</f>
        <v/>
      </c>
      <c r="G2109" s="92">
        <f>EXP($C$12+$C$8*_xlfn.NORM.S.INV(RAND()))</f>
        <v/>
      </c>
    </row>
    <row r="2110">
      <c r="F2110">
        <f>F2109+1</f>
        <v/>
      </c>
      <c r="G2110" s="92">
        <f>EXP($C$12+$C$8*_xlfn.NORM.S.INV(RAND()))</f>
        <v/>
      </c>
    </row>
    <row r="2111">
      <c r="F2111">
        <f>F2110+1</f>
        <v/>
      </c>
      <c r="G2111" s="92">
        <f>EXP($C$12+$C$8*_xlfn.NORM.S.INV(RAND()))</f>
        <v/>
      </c>
    </row>
    <row r="2112">
      <c r="F2112">
        <f>F2111+1</f>
        <v/>
      </c>
      <c r="G2112" s="92">
        <f>EXP($C$12+$C$8*_xlfn.NORM.S.INV(RAND()))</f>
        <v/>
      </c>
    </row>
    <row r="2113">
      <c r="F2113">
        <f>F2112+1</f>
        <v/>
      </c>
      <c r="G2113" s="92">
        <f>EXP($C$12+$C$8*_xlfn.NORM.S.INV(RAND()))</f>
        <v/>
      </c>
    </row>
    <row r="2114">
      <c r="F2114">
        <f>F2113+1</f>
        <v/>
      </c>
      <c r="G2114" s="92">
        <f>EXP($C$12+$C$8*_xlfn.NORM.S.INV(RAND()))</f>
        <v/>
      </c>
    </row>
    <row r="2115">
      <c r="F2115">
        <f>F2114+1</f>
        <v/>
      </c>
      <c r="G2115" s="92">
        <f>EXP($C$12+$C$8*_xlfn.NORM.S.INV(RAND()))</f>
        <v/>
      </c>
    </row>
    <row r="2116">
      <c r="F2116">
        <f>F2115+1</f>
        <v/>
      </c>
      <c r="G2116" s="92">
        <f>EXP($C$12+$C$8*_xlfn.NORM.S.INV(RAND()))</f>
        <v/>
      </c>
    </row>
    <row r="2117">
      <c r="F2117">
        <f>F2116+1</f>
        <v/>
      </c>
      <c r="G2117" s="92">
        <f>EXP($C$12+$C$8*_xlfn.NORM.S.INV(RAND()))</f>
        <v/>
      </c>
    </row>
    <row r="2118">
      <c r="F2118">
        <f>F2117+1</f>
        <v/>
      </c>
      <c r="G2118" s="92">
        <f>EXP($C$12+$C$8*_xlfn.NORM.S.INV(RAND()))</f>
        <v/>
      </c>
    </row>
    <row r="2119">
      <c r="F2119">
        <f>F2118+1</f>
        <v/>
      </c>
      <c r="G2119" s="92">
        <f>EXP($C$12+$C$8*_xlfn.NORM.S.INV(RAND()))</f>
        <v/>
      </c>
    </row>
    <row r="2120">
      <c r="F2120">
        <f>F2119+1</f>
        <v/>
      </c>
      <c r="G2120" s="92">
        <f>EXP($C$12+$C$8*_xlfn.NORM.S.INV(RAND()))</f>
        <v/>
      </c>
    </row>
    <row r="2121">
      <c r="F2121">
        <f>F2120+1</f>
        <v/>
      </c>
      <c r="G2121" s="92">
        <f>EXP($C$12+$C$8*_xlfn.NORM.S.INV(RAND()))</f>
        <v/>
      </c>
    </row>
    <row r="2122">
      <c r="F2122">
        <f>F2121+1</f>
        <v/>
      </c>
      <c r="G2122" s="92">
        <f>EXP($C$12+$C$8*_xlfn.NORM.S.INV(RAND()))</f>
        <v/>
      </c>
    </row>
    <row r="2123">
      <c r="F2123">
        <f>F2122+1</f>
        <v/>
      </c>
      <c r="G2123" s="92">
        <f>EXP($C$12+$C$8*_xlfn.NORM.S.INV(RAND()))</f>
        <v/>
      </c>
    </row>
    <row r="2124">
      <c r="F2124">
        <f>F2123+1</f>
        <v/>
      </c>
      <c r="G2124" s="92">
        <f>EXP($C$12+$C$8*_xlfn.NORM.S.INV(RAND()))</f>
        <v/>
      </c>
    </row>
    <row r="2125">
      <c r="F2125">
        <f>F2124+1</f>
        <v/>
      </c>
      <c r="G2125" s="92">
        <f>EXP($C$12+$C$8*_xlfn.NORM.S.INV(RAND()))</f>
        <v/>
      </c>
    </row>
    <row r="2126">
      <c r="F2126">
        <f>F2125+1</f>
        <v/>
      </c>
      <c r="G2126" s="92">
        <f>EXP($C$12+$C$8*_xlfn.NORM.S.INV(RAND()))</f>
        <v/>
      </c>
    </row>
    <row r="2127">
      <c r="F2127">
        <f>F2126+1</f>
        <v/>
      </c>
      <c r="G2127" s="92">
        <f>EXP($C$12+$C$8*_xlfn.NORM.S.INV(RAND()))</f>
        <v/>
      </c>
    </row>
    <row r="2128">
      <c r="F2128">
        <f>F2127+1</f>
        <v/>
      </c>
      <c r="G2128" s="92">
        <f>EXP($C$12+$C$8*_xlfn.NORM.S.INV(RAND()))</f>
        <v/>
      </c>
    </row>
    <row r="2129">
      <c r="F2129">
        <f>F2128+1</f>
        <v/>
      </c>
      <c r="G2129" s="92">
        <f>EXP($C$12+$C$8*_xlfn.NORM.S.INV(RAND()))</f>
        <v/>
      </c>
    </row>
    <row r="2130">
      <c r="F2130">
        <f>F2129+1</f>
        <v/>
      </c>
      <c r="G2130" s="92">
        <f>EXP($C$12+$C$8*_xlfn.NORM.S.INV(RAND()))</f>
        <v/>
      </c>
    </row>
    <row r="2131">
      <c r="F2131">
        <f>F2130+1</f>
        <v/>
      </c>
      <c r="G2131" s="92">
        <f>EXP($C$12+$C$8*_xlfn.NORM.S.INV(RAND()))</f>
        <v/>
      </c>
    </row>
    <row r="2132">
      <c r="F2132">
        <f>F2131+1</f>
        <v/>
      </c>
      <c r="G2132" s="92">
        <f>EXP($C$12+$C$8*_xlfn.NORM.S.INV(RAND()))</f>
        <v/>
      </c>
    </row>
    <row r="2133">
      <c r="F2133">
        <f>F2132+1</f>
        <v/>
      </c>
      <c r="G2133" s="92">
        <f>EXP($C$12+$C$8*_xlfn.NORM.S.INV(RAND()))</f>
        <v/>
      </c>
    </row>
    <row r="2134">
      <c r="F2134">
        <f>F2133+1</f>
        <v/>
      </c>
      <c r="G2134" s="92">
        <f>EXP($C$12+$C$8*_xlfn.NORM.S.INV(RAND()))</f>
        <v/>
      </c>
    </row>
    <row r="2135">
      <c r="F2135">
        <f>F2134+1</f>
        <v/>
      </c>
      <c r="G2135" s="92">
        <f>EXP($C$12+$C$8*_xlfn.NORM.S.INV(RAND()))</f>
        <v/>
      </c>
    </row>
    <row r="2136">
      <c r="F2136">
        <f>F2135+1</f>
        <v/>
      </c>
      <c r="G2136" s="92">
        <f>EXP($C$12+$C$8*_xlfn.NORM.S.INV(RAND()))</f>
        <v/>
      </c>
    </row>
    <row r="2137">
      <c r="F2137">
        <f>F2136+1</f>
        <v/>
      </c>
      <c r="G2137" s="92">
        <f>EXP($C$12+$C$8*_xlfn.NORM.S.INV(RAND()))</f>
        <v/>
      </c>
    </row>
    <row r="2138">
      <c r="F2138">
        <f>F2137+1</f>
        <v/>
      </c>
      <c r="G2138" s="92">
        <f>EXP($C$12+$C$8*_xlfn.NORM.S.INV(RAND()))</f>
        <v/>
      </c>
    </row>
    <row r="2139">
      <c r="F2139">
        <f>F2138+1</f>
        <v/>
      </c>
      <c r="G2139" s="92">
        <f>EXP($C$12+$C$8*_xlfn.NORM.S.INV(RAND()))</f>
        <v/>
      </c>
    </row>
    <row r="2140">
      <c r="F2140">
        <f>F2139+1</f>
        <v/>
      </c>
      <c r="G2140" s="92">
        <f>EXP($C$12+$C$8*_xlfn.NORM.S.INV(RAND()))</f>
        <v/>
      </c>
    </row>
    <row r="2141">
      <c r="F2141">
        <f>F2140+1</f>
        <v/>
      </c>
      <c r="G2141" s="92">
        <f>EXP($C$12+$C$8*_xlfn.NORM.S.INV(RAND()))</f>
        <v/>
      </c>
    </row>
    <row r="2142">
      <c r="F2142">
        <f>F2141+1</f>
        <v/>
      </c>
      <c r="G2142" s="92">
        <f>EXP($C$12+$C$8*_xlfn.NORM.S.INV(RAND()))</f>
        <v/>
      </c>
    </row>
    <row r="2143">
      <c r="F2143">
        <f>F2142+1</f>
        <v/>
      </c>
      <c r="G2143" s="92">
        <f>EXP($C$12+$C$8*_xlfn.NORM.S.INV(RAND()))</f>
        <v/>
      </c>
    </row>
    <row r="2144">
      <c r="F2144">
        <f>F2143+1</f>
        <v/>
      </c>
      <c r="G2144" s="92">
        <f>EXP($C$12+$C$8*_xlfn.NORM.S.INV(RAND()))</f>
        <v/>
      </c>
    </row>
    <row r="2145">
      <c r="F2145">
        <f>F2144+1</f>
        <v/>
      </c>
      <c r="G2145" s="92">
        <f>EXP($C$12+$C$8*_xlfn.NORM.S.INV(RAND()))</f>
        <v/>
      </c>
    </row>
    <row r="2146">
      <c r="F2146">
        <f>F2145+1</f>
        <v/>
      </c>
      <c r="G2146" s="92">
        <f>EXP($C$12+$C$8*_xlfn.NORM.S.INV(RAND()))</f>
        <v/>
      </c>
    </row>
    <row r="2147">
      <c r="F2147">
        <f>F2146+1</f>
        <v/>
      </c>
      <c r="G2147" s="92">
        <f>EXP($C$12+$C$8*_xlfn.NORM.S.INV(RAND()))</f>
        <v/>
      </c>
    </row>
    <row r="2148">
      <c r="F2148">
        <f>F2147+1</f>
        <v/>
      </c>
      <c r="G2148" s="92">
        <f>EXP($C$12+$C$8*_xlfn.NORM.S.INV(RAND()))</f>
        <v/>
      </c>
    </row>
    <row r="2149">
      <c r="F2149">
        <f>F2148+1</f>
        <v/>
      </c>
      <c r="G2149" s="92">
        <f>EXP($C$12+$C$8*_xlfn.NORM.S.INV(RAND()))</f>
        <v/>
      </c>
    </row>
    <row r="2150">
      <c r="F2150">
        <f>F2149+1</f>
        <v/>
      </c>
      <c r="G2150" s="92">
        <f>EXP($C$12+$C$8*_xlfn.NORM.S.INV(RAND()))</f>
        <v/>
      </c>
    </row>
    <row r="2151">
      <c r="F2151">
        <f>F2150+1</f>
        <v/>
      </c>
      <c r="G2151" s="92">
        <f>EXP($C$12+$C$8*_xlfn.NORM.S.INV(RAND()))</f>
        <v/>
      </c>
    </row>
    <row r="2152">
      <c r="F2152">
        <f>F2151+1</f>
        <v/>
      </c>
      <c r="G2152" s="92">
        <f>EXP($C$12+$C$8*_xlfn.NORM.S.INV(RAND()))</f>
        <v/>
      </c>
    </row>
    <row r="2153">
      <c r="F2153">
        <f>F2152+1</f>
        <v/>
      </c>
      <c r="G2153" s="92">
        <f>EXP($C$12+$C$8*_xlfn.NORM.S.INV(RAND()))</f>
        <v/>
      </c>
    </row>
    <row r="2154">
      <c r="F2154">
        <f>F2153+1</f>
        <v/>
      </c>
      <c r="G2154" s="92">
        <f>EXP($C$12+$C$8*_xlfn.NORM.S.INV(RAND()))</f>
        <v/>
      </c>
    </row>
    <row r="2155">
      <c r="F2155">
        <f>F2154+1</f>
        <v/>
      </c>
      <c r="G2155" s="92">
        <f>EXP($C$12+$C$8*_xlfn.NORM.S.INV(RAND()))</f>
        <v/>
      </c>
    </row>
    <row r="2156">
      <c r="F2156">
        <f>F2155+1</f>
        <v/>
      </c>
      <c r="G2156" s="92">
        <f>EXP($C$12+$C$8*_xlfn.NORM.S.INV(RAND()))</f>
        <v/>
      </c>
    </row>
    <row r="2157">
      <c r="F2157">
        <f>F2156+1</f>
        <v/>
      </c>
      <c r="G2157" s="92">
        <f>EXP($C$12+$C$8*_xlfn.NORM.S.INV(RAND()))</f>
        <v/>
      </c>
    </row>
    <row r="2158">
      <c r="F2158">
        <f>F2157+1</f>
        <v/>
      </c>
      <c r="G2158" s="92">
        <f>EXP($C$12+$C$8*_xlfn.NORM.S.INV(RAND()))</f>
        <v/>
      </c>
    </row>
    <row r="2159">
      <c r="F2159">
        <f>F2158+1</f>
        <v/>
      </c>
      <c r="G2159" s="92">
        <f>EXP($C$12+$C$8*_xlfn.NORM.S.INV(RAND()))</f>
        <v/>
      </c>
    </row>
    <row r="2160">
      <c r="F2160">
        <f>F2159+1</f>
        <v/>
      </c>
      <c r="G2160" s="92">
        <f>EXP($C$12+$C$8*_xlfn.NORM.S.INV(RAND()))</f>
        <v/>
      </c>
    </row>
    <row r="2161">
      <c r="F2161">
        <f>F2160+1</f>
        <v/>
      </c>
      <c r="G2161" s="92">
        <f>EXP($C$12+$C$8*_xlfn.NORM.S.INV(RAND()))</f>
        <v/>
      </c>
    </row>
    <row r="2162">
      <c r="F2162">
        <f>F2161+1</f>
        <v/>
      </c>
      <c r="G2162" s="92">
        <f>EXP($C$12+$C$8*_xlfn.NORM.S.INV(RAND()))</f>
        <v/>
      </c>
    </row>
    <row r="2163">
      <c r="F2163">
        <f>F2162+1</f>
        <v/>
      </c>
      <c r="G2163" s="92">
        <f>EXP($C$12+$C$8*_xlfn.NORM.S.INV(RAND()))</f>
        <v/>
      </c>
    </row>
    <row r="2164">
      <c r="F2164">
        <f>F2163+1</f>
        <v/>
      </c>
      <c r="G2164" s="92">
        <f>EXP($C$12+$C$8*_xlfn.NORM.S.INV(RAND()))</f>
        <v/>
      </c>
    </row>
    <row r="2165">
      <c r="F2165">
        <f>F2164+1</f>
        <v/>
      </c>
      <c r="G2165" s="92">
        <f>EXP($C$12+$C$8*_xlfn.NORM.S.INV(RAND()))</f>
        <v/>
      </c>
    </row>
    <row r="2166">
      <c r="F2166">
        <f>F2165+1</f>
        <v/>
      </c>
      <c r="G2166" s="92">
        <f>EXP($C$12+$C$8*_xlfn.NORM.S.INV(RAND()))</f>
        <v/>
      </c>
    </row>
    <row r="2167">
      <c r="F2167">
        <f>F2166+1</f>
        <v/>
      </c>
      <c r="G2167" s="92">
        <f>EXP($C$12+$C$8*_xlfn.NORM.S.INV(RAND()))</f>
        <v/>
      </c>
    </row>
    <row r="2168">
      <c r="F2168">
        <f>F2167+1</f>
        <v/>
      </c>
      <c r="G2168" s="92">
        <f>EXP($C$12+$C$8*_xlfn.NORM.S.INV(RAND()))</f>
        <v/>
      </c>
    </row>
    <row r="2169">
      <c r="F2169">
        <f>F2168+1</f>
        <v/>
      </c>
      <c r="G2169" s="92">
        <f>EXP($C$12+$C$8*_xlfn.NORM.S.INV(RAND()))</f>
        <v/>
      </c>
    </row>
    <row r="2170">
      <c r="F2170">
        <f>F2169+1</f>
        <v/>
      </c>
      <c r="G2170" s="92">
        <f>EXP($C$12+$C$8*_xlfn.NORM.S.INV(RAND()))</f>
        <v/>
      </c>
    </row>
    <row r="2171">
      <c r="F2171">
        <f>F2170+1</f>
        <v/>
      </c>
      <c r="G2171" s="92">
        <f>EXP($C$12+$C$8*_xlfn.NORM.S.INV(RAND()))</f>
        <v/>
      </c>
    </row>
    <row r="2172">
      <c r="F2172">
        <f>F2171+1</f>
        <v/>
      </c>
      <c r="G2172" s="92">
        <f>EXP($C$12+$C$8*_xlfn.NORM.S.INV(RAND()))</f>
        <v/>
      </c>
    </row>
    <row r="2173">
      <c r="F2173">
        <f>F2172+1</f>
        <v/>
      </c>
      <c r="G2173" s="92">
        <f>EXP($C$12+$C$8*_xlfn.NORM.S.INV(RAND()))</f>
        <v/>
      </c>
    </row>
    <row r="2174">
      <c r="F2174">
        <f>F2173+1</f>
        <v/>
      </c>
      <c r="G2174" s="92">
        <f>EXP($C$12+$C$8*_xlfn.NORM.S.INV(RAND()))</f>
        <v/>
      </c>
    </row>
    <row r="2175">
      <c r="F2175">
        <f>F2174+1</f>
        <v/>
      </c>
      <c r="G2175" s="92">
        <f>EXP($C$12+$C$8*_xlfn.NORM.S.INV(RAND()))</f>
        <v/>
      </c>
    </row>
    <row r="2176">
      <c r="F2176">
        <f>F2175+1</f>
        <v/>
      </c>
      <c r="G2176" s="92">
        <f>EXP($C$12+$C$8*_xlfn.NORM.S.INV(RAND()))</f>
        <v/>
      </c>
    </row>
    <row r="2177">
      <c r="F2177">
        <f>F2176+1</f>
        <v/>
      </c>
      <c r="G2177" s="92">
        <f>EXP($C$12+$C$8*_xlfn.NORM.S.INV(RAND()))</f>
        <v/>
      </c>
    </row>
    <row r="2178">
      <c r="F2178">
        <f>F2177+1</f>
        <v/>
      </c>
      <c r="G2178" s="92">
        <f>EXP($C$12+$C$8*_xlfn.NORM.S.INV(RAND()))</f>
        <v/>
      </c>
    </row>
    <row r="2179">
      <c r="F2179">
        <f>F2178+1</f>
        <v/>
      </c>
      <c r="G2179" s="92">
        <f>EXP($C$12+$C$8*_xlfn.NORM.S.INV(RAND()))</f>
        <v/>
      </c>
    </row>
    <row r="2180">
      <c r="F2180">
        <f>F2179+1</f>
        <v/>
      </c>
      <c r="G2180" s="92">
        <f>EXP($C$12+$C$8*_xlfn.NORM.S.INV(RAND()))</f>
        <v/>
      </c>
    </row>
    <row r="2181">
      <c r="F2181">
        <f>F2180+1</f>
        <v/>
      </c>
      <c r="G2181" s="92">
        <f>EXP($C$12+$C$8*_xlfn.NORM.S.INV(RAND()))</f>
        <v/>
      </c>
    </row>
    <row r="2182">
      <c r="F2182">
        <f>F2181+1</f>
        <v/>
      </c>
      <c r="G2182" s="92">
        <f>EXP($C$12+$C$8*_xlfn.NORM.S.INV(RAND()))</f>
        <v/>
      </c>
    </row>
    <row r="2183">
      <c r="F2183">
        <f>F2182+1</f>
        <v/>
      </c>
      <c r="G2183" s="92">
        <f>EXP($C$12+$C$8*_xlfn.NORM.S.INV(RAND()))</f>
        <v/>
      </c>
    </row>
    <row r="2184">
      <c r="F2184">
        <f>F2183+1</f>
        <v/>
      </c>
      <c r="G2184" s="92">
        <f>EXP($C$12+$C$8*_xlfn.NORM.S.INV(RAND()))</f>
        <v/>
      </c>
    </row>
    <row r="2185">
      <c r="F2185">
        <f>F2184+1</f>
        <v/>
      </c>
      <c r="G2185" s="92">
        <f>EXP($C$12+$C$8*_xlfn.NORM.S.INV(RAND()))</f>
        <v/>
      </c>
    </row>
    <row r="2186">
      <c r="F2186">
        <f>F2185+1</f>
        <v/>
      </c>
      <c r="G2186" s="92">
        <f>EXP($C$12+$C$8*_xlfn.NORM.S.INV(RAND()))</f>
        <v/>
      </c>
    </row>
    <row r="2187">
      <c r="F2187">
        <f>F2186+1</f>
        <v/>
      </c>
      <c r="G2187" s="92">
        <f>EXP($C$12+$C$8*_xlfn.NORM.S.INV(RAND()))</f>
        <v/>
      </c>
    </row>
    <row r="2188">
      <c r="F2188">
        <f>F2187+1</f>
        <v/>
      </c>
      <c r="G2188" s="92">
        <f>EXP($C$12+$C$8*_xlfn.NORM.S.INV(RAND()))</f>
        <v/>
      </c>
    </row>
    <row r="2189">
      <c r="F2189">
        <f>F2188+1</f>
        <v/>
      </c>
      <c r="G2189" s="92">
        <f>EXP($C$12+$C$8*_xlfn.NORM.S.INV(RAND()))</f>
        <v/>
      </c>
    </row>
    <row r="2190">
      <c r="F2190">
        <f>F2189+1</f>
        <v/>
      </c>
      <c r="G2190" s="92">
        <f>EXP($C$12+$C$8*_xlfn.NORM.S.INV(RAND()))</f>
        <v/>
      </c>
    </row>
    <row r="2191">
      <c r="F2191">
        <f>F2190+1</f>
        <v/>
      </c>
      <c r="G2191" s="92">
        <f>EXP($C$12+$C$8*_xlfn.NORM.S.INV(RAND()))</f>
        <v/>
      </c>
    </row>
    <row r="2192">
      <c r="F2192">
        <f>F2191+1</f>
        <v/>
      </c>
      <c r="G2192" s="92">
        <f>EXP($C$12+$C$8*_xlfn.NORM.S.INV(RAND()))</f>
        <v/>
      </c>
    </row>
    <row r="2193">
      <c r="F2193">
        <f>F2192+1</f>
        <v/>
      </c>
      <c r="G2193" s="92">
        <f>EXP($C$12+$C$8*_xlfn.NORM.S.INV(RAND()))</f>
        <v/>
      </c>
    </row>
    <row r="2194">
      <c r="F2194">
        <f>F2193+1</f>
        <v/>
      </c>
      <c r="G2194" s="92">
        <f>EXP($C$12+$C$8*_xlfn.NORM.S.INV(RAND()))</f>
        <v/>
      </c>
    </row>
    <row r="2195">
      <c r="F2195">
        <f>F2194+1</f>
        <v/>
      </c>
      <c r="G2195" s="92">
        <f>EXP($C$12+$C$8*_xlfn.NORM.S.INV(RAND()))</f>
        <v/>
      </c>
    </row>
    <row r="2196">
      <c r="F2196">
        <f>F2195+1</f>
        <v/>
      </c>
      <c r="G2196" s="92">
        <f>EXP($C$12+$C$8*_xlfn.NORM.S.INV(RAND()))</f>
        <v/>
      </c>
    </row>
    <row r="2197">
      <c r="F2197">
        <f>F2196+1</f>
        <v/>
      </c>
      <c r="G2197" s="92">
        <f>EXP($C$12+$C$8*_xlfn.NORM.S.INV(RAND()))</f>
        <v/>
      </c>
    </row>
    <row r="2198">
      <c r="F2198">
        <f>F2197+1</f>
        <v/>
      </c>
      <c r="G2198" s="92">
        <f>EXP($C$12+$C$8*_xlfn.NORM.S.INV(RAND()))</f>
        <v/>
      </c>
    </row>
    <row r="2199">
      <c r="F2199">
        <f>F2198+1</f>
        <v/>
      </c>
      <c r="G2199" s="92">
        <f>EXP($C$12+$C$8*_xlfn.NORM.S.INV(RAND()))</f>
        <v/>
      </c>
    </row>
    <row r="2200">
      <c r="F2200">
        <f>F2199+1</f>
        <v/>
      </c>
      <c r="G2200" s="92">
        <f>EXP($C$12+$C$8*_xlfn.NORM.S.INV(RAND()))</f>
        <v/>
      </c>
    </row>
    <row r="2201">
      <c r="F2201">
        <f>F2200+1</f>
        <v/>
      </c>
      <c r="G2201" s="92">
        <f>EXP($C$12+$C$8*_xlfn.NORM.S.INV(RAND()))</f>
        <v/>
      </c>
    </row>
    <row r="2202">
      <c r="F2202">
        <f>F2201+1</f>
        <v/>
      </c>
      <c r="G2202" s="92">
        <f>EXP($C$12+$C$8*_xlfn.NORM.S.INV(RAND()))</f>
        <v/>
      </c>
    </row>
    <row r="2203">
      <c r="F2203">
        <f>F2202+1</f>
        <v/>
      </c>
      <c r="G2203" s="92">
        <f>EXP($C$12+$C$8*_xlfn.NORM.S.INV(RAND()))</f>
        <v/>
      </c>
    </row>
    <row r="2204">
      <c r="F2204">
        <f>F2203+1</f>
        <v/>
      </c>
      <c r="G2204" s="92">
        <f>EXP($C$12+$C$8*_xlfn.NORM.S.INV(RAND()))</f>
        <v/>
      </c>
    </row>
    <row r="2205">
      <c r="F2205">
        <f>F2204+1</f>
        <v/>
      </c>
      <c r="G2205" s="92">
        <f>EXP($C$12+$C$8*_xlfn.NORM.S.INV(RAND()))</f>
        <v/>
      </c>
    </row>
    <row r="2206">
      <c r="F2206">
        <f>F2205+1</f>
        <v/>
      </c>
      <c r="G2206" s="92">
        <f>EXP($C$12+$C$8*_xlfn.NORM.S.INV(RAND()))</f>
        <v/>
      </c>
    </row>
    <row r="2207">
      <c r="F2207">
        <f>F2206+1</f>
        <v/>
      </c>
      <c r="G2207" s="92">
        <f>EXP($C$12+$C$8*_xlfn.NORM.S.INV(RAND()))</f>
        <v/>
      </c>
    </row>
    <row r="2208">
      <c r="F2208">
        <f>F2207+1</f>
        <v/>
      </c>
      <c r="G2208" s="92">
        <f>EXP($C$12+$C$8*_xlfn.NORM.S.INV(RAND()))</f>
        <v/>
      </c>
    </row>
    <row r="2209">
      <c r="F2209">
        <f>F2208+1</f>
        <v/>
      </c>
      <c r="G2209" s="92">
        <f>EXP($C$12+$C$8*_xlfn.NORM.S.INV(RAND()))</f>
        <v/>
      </c>
    </row>
    <row r="2210">
      <c r="F2210">
        <f>F2209+1</f>
        <v/>
      </c>
      <c r="G2210" s="92">
        <f>EXP($C$12+$C$8*_xlfn.NORM.S.INV(RAND()))</f>
        <v/>
      </c>
    </row>
    <row r="2211">
      <c r="F2211">
        <f>F2210+1</f>
        <v/>
      </c>
      <c r="G2211" s="92">
        <f>EXP($C$12+$C$8*_xlfn.NORM.S.INV(RAND()))</f>
        <v/>
      </c>
    </row>
    <row r="2212">
      <c r="F2212">
        <f>F2211+1</f>
        <v/>
      </c>
      <c r="G2212" s="92">
        <f>EXP($C$12+$C$8*_xlfn.NORM.S.INV(RAND()))</f>
        <v/>
      </c>
    </row>
    <row r="2213">
      <c r="F2213">
        <f>F2212+1</f>
        <v/>
      </c>
      <c r="G2213" s="92">
        <f>EXP($C$12+$C$8*_xlfn.NORM.S.INV(RAND()))</f>
        <v/>
      </c>
    </row>
    <row r="2214">
      <c r="F2214">
        <f>F2213+1</f>
        <v/>
      </c>
      <c r="G2214" s="92">
        <f>EXP($C$12+$C$8*_xlfn.NORM.S.INV(RAND()))</f>
        <v/>
      </c>
    </row>
    <row r="2215">
      <c r="F2215">
        <f>F2214+1</f>
        <v/>
      </c>
      <c r="G2215" s="92">
        <f>EXP($C$12+$C$8*_xlfn.NORM.S.INV(RAND()))</f>
        <v/>
      </c>
    </row>
    <row r="2216">
      <c r="F2216">
        <f>F2215+1</f>
        <v/>
      </c>
      <c r="G2216" s="92">
        <f>EXP($C$12+$C$8*_xlfn.NORM.S.INV(RAND()))</f>
        <v/>
      </c>
    </row>
    <row r="2217">
      <c r="F2217">
        <f>F2216+1</f>
        <v/>
      </c>
      <c r="G2217" s="92">
        <f>EXP($C$12+$C$8*_xlfn.NORM.S.INV(RAND()))</f>
        <v/>
      </c>
    </row>
    <row r="2218">
      <c r="F2218">
        <f>F2217+1</f>
        <v/>
      </c>
      <c r="G2218" s="92">
        <f>EXP($C$12+$C$8*_xlfn.NORM.S.INV(RAND()))</f>
        <v/>
      </c>
    </row>
    <row r="2219">
      <c r="F2219">
        <f>F2218+1</f>
        <v/>
      </c>
      <c r="G2219" s="92">
        <f>EXP($C$12+$C$8*_xlfn.NORM.S.INV(RAND()))</f>
        <v/>
      </c>
    </row>
    <row r="2220">
      <c r="F2220">
        <f>F2219+1</f>
        <v/>
      </c>
      <c r="G2220" s="92">
        <f>EXP($C$12+$C$8*_xlfn.NORM.S.INV(RAND()))</f>
        <v/>
      </c>
    </row>
    <row r="2221">
      <c r="F2221">
        <f>F2220+1</f>
        <v/>
      </c>
      <c r="G2221" s="92">
        <f>EXP($C$12+$C$8*_xlfn.NORM.S.INV(RAND()))</f>
        <v/>
      </c>
    </row>
    <row r="2222">
      <c r="F2222">
        <f>F2221+1</f>
        <v/>
      </c>
      <c r="G2222" s="92">
        <f>EXP($C$12+$C$8*_xlfn.NORM.S.INV(RAND()))</f>
        <v/>
      </c>
    </row>
    <row r="2223">
      <c r="F2223">
        <f>F2222+1</f>
        <v/>
      </c>
      <c r="G2223" s="92">
        <f>EXP($C$12+$C$8*_xlfn.NORM.S.INV(RAND()))</f>
        <v/>
      </c>
    </row>
    <row r="2224">
      <c r="F2224">
        <f>F2223+1</f>
        <v/>
      </c>
      <c r="G2224" s="92">
        <f>EXP($C$12+$C$8*_xlfn.NORM.S.INV(RAND()))</f>
        <v/>
      </c>
    </row>
    <row r="2225">
      <c r="F2225">
        <f>F2224+1</f>
        <v/>
      </c>
      <c r="G2225" s="92">
        <f>EXP($C$12+$C$8*_xlfn.NORM.S.INV(RAND()))</f>
        <v/>
      </c>
    </row>
    <row r="2226">
      <c r="F2226">
        <f>F2225+1</f>
        <v/>
      </c>
      <c r="G2226" s="92">
        <f>EXP($C$12+$C$8*_xlfn.NORM.S.INV(RAND()))</f>
        <v/>
      </c>
    </row>
    <row r="2227">
      <c r="F2227">
        <f>F2226+1</f>
        <v/>
      </c>
      <c r="G2227" s="92">
        <f>EXP($C$12+$C$8*_xlfn.NORM.S.INV(RAND()))</f>
        <v/>
      </c>
    </row>
    <row r="2228">
      <c r="F2228">
        <f>F2227+1</f>
        <v/>
      </c>
      <c r="G2228" s="92">
        <f>EXP($C$12+$C$8*_xlfn.NORM.S.INV(RAND()))</f>
        <v/>
      </c>
    </row>
    <row r="2229">
      <c r="F2229">
        <f>F2228+1</f>
        <v/>
      </c>
      <c r="G2229" s="92">
        <f>EXP($C$12+$C$8*_xlfn.NORM.S.INV(RAND()))</f>
        <v/>
      </c>
    </row>
    <row r="2230">
      <c r="F2230">
        <f>F2229+1</f>
        <v/>
      </c>
      <c r="G2230" s="92">
        <f>EXP($C$12+$C$8*_xlfn.NORM.S.INV(RAND()))</f>
        <v/>
      </c>
    </row>
    <row r="2231">
      <c r="F2231">
        <f>F2230+1</f>
        <v/>
      </c>
      <c r="G2231" s="92">
        <f>EXP($C$12+$C$8*_xlfn.NORM.S.INV(RAND()))</f>
        <v/>
      </c>
    </row>
    <row r="2232">
      <c r="F2232">
        <f>F2231+1</f>
        <v/>
      </c>
      <c r="G2232" s="92">
        <f>EXP($C$12+$C$8*_xlfn.NORM.S.INV(RAND()))</f>
        <v/>
      </c>
    </row>
    <row r="2233">
      <c r="F2233">
        <f>F2232+1</f>
        <v/>
      </c>
      <c r="G2233" s="92">
        <f>EXP($C$12+$C$8*_xlfn.NORM.S.INV(RAND()))</f>
        <v/>
      </c>
    </row>
    <row r="2234">
      <c r="F2234">
        <f>F2233+1</f>
        <v/>
      </c>
      <c r="G2234" s="92">
        <f>EXP($C$12+$C$8*_xlfn.NORM.S.INV(RAND()))</f>
        <v/>
      </c>
    </row>
    <row r="2235">
      <c r="F2235">
        <f>F2234+1</f>
        <v/>
      </c>
      <c r="G2235" s="92">
        <f>EXP($C$12+$C$8*_xlfn.NORM.S.INV(RAND()))</f>
        <v/>
      </c>
    </row>
    <row r="2236">
      <c r="F2236">
        <f>F2235+1</f>
        <v/>
      </c>
      <c r="G2236" s="92">
        <f>EXP($C$12+$C$8*_xlfn.NORM.S.INV(RAND()))</f>
        <v/>
      </c>
    </row>
    <row r="2237">
      <c r="F2237">
        <f>F2236+1</f>
        <v/>
      </c>
      <c r="G2237" s="92">
        <f>EXP($C$12+$C$8*_xlfn.NORM.S.INV(RAND()))</f>
        <v/>
      </c>
    </row>
    <row r="2238">
      <c r="F2238">
        <f>F2237+1</f>
        <v/>
      </c>
      <c r="G2238" s="92">
        <f>EXP($C$12+$C$8*_xlfn.NORM.S.INV(RAND()))</f>
        <v/>
      </c>
    </row>
    <row r="2239">
      <c r="F2239">
        <f>F2238+1</f>
        <v/>
      </c>
      <c r="G2239" s="92">
        <f>EXP($C$12+$C$8*_xlfn.NORM.S.INV(RAND()))</f>
        <v/>
      </c>
    </row>
    <row r="2240">
      <c r="F2240">
        <f>F2239+1</f>
        <v/>
      </c>
      <c r="G2240" s="92">
        <f>EXP($C$12+$C$8*_xlfn.NORM.S.INV(RAND()))</f>
        <v/>
      </c>
    </row>
    <row r="2241">
      <c r="F2241">
        <f>F2240+1</f>
        <v/>
      </c>
      <c r="G2241" s="92">
        <f>EXP($C$12+$C$8*_xlfn.NORM.S.INV(RAND()))</f>
        <v/>
      </c>
    </row>
    <row r="2242">
      <c r="F2242">
        <f>F2241+1</f>
        <v/>
      </c>
      <c r="G2242" s="92">
        <f>EXP($C$12+$C$8*_xlfn.NORM.S.INV(RAND()))</f>
        <v/>
      </c>
    </row>
    <row r="2243">
      <c r="F2243">
        <f>F2242+1</f>
        <v/>
      </c>
      <c r="G2243" s="92">
        <f>EXP($C$12+$C$8*_xlfn.NORM.S.INV(RAND()))</f>
        <v/>
      </c>
    </row>
    <row r="2244">
      <c r="F2244">
        <f>F2243+1</f>
        <v/>
      </c>
      <c r="G2244" s="92">
        <f>EXP($C$12+$C$8*_xlfn.NORM.S.INV(RAND()))</f>
        <v/>
      </c>
    </row>
    <row r="2245">
      <c r="F2245">
        <f>F2244+1</f>
        <v/>
      </c>
      <c r="G2245" s="92">
        <f>EXP($C$12+$C$8*_xlfn.NORM.S.INV(RAND()))</f>
        <v/>
      </c>
    </row>
    <row r="2246">
      <c r="F2246">
        <f>F2245+1</f>
        <v/>
      </c>
      <c r="G2246" s="92">
        <f>EXP($C$12+$C$8*_xlfn.NORM.S.INV(RAND()))</f>
        <v/>
      </c>
    </row>
    <row r="2247">
      <c r="F2247">
        <f>F2246+1</f>
        <v/>
      </c>
      <c r="G2247" s="92">
        <f>EXP($C$12+$C$8*_xlfn.NORM.S.INV(RAND()))</f>
        <v/>
      </c>
    </row>
    <row r="2248">
      <c r="F2248">
        <f>F2247+1</f>
        <v/>
      </c>
      <c r="G2248" s="92">
        <f>EXP($C$12+$C$8*_xlfn.NORM.S.INV(RAND()))</f>
        <v/>
      </c>
    </row>
    <row r="2249">
      <c r="F2249">
        <f>F2248+1</f>
        <v/>
      </c>
      <c r="G2249" s="92">
        <f>EXP($C$12+$C$8*_xlfn.NORM.S.INV(RAND()))</f>
        <v/>
      </c>
    </row>
    <row r="2250">
      <c r="F2250">
        <f>F2249+1</f>
        <v/>
      </c>
      <c r="G2250" s="92">
        <f>EXP($C$12+$C$8*_xlfn.NORM.S.INV(RAND()))</f>
        <v/>
      </c>
    </row>
    <row r="2251">
      <c r="F2251">
        <f>F2250+1</f>
        <v/>
      </c>
      <c r="G2251" s="92">
        <f>EXP($C$12+$C$8*_xlfn.NORM.S.INV(RAND()))</f>
        <v/>
      </c>
    </row>
    <row r="2252">
      <c r="F2252">
        <f>F2251+1</f>
        <v/>
      </c>
      <c r="G2252" s="92">
        <f>EXP($C$12+$C$8*_xlfn.NORM.S.INV(RAND()))</f>
        <v/>
      </c>
    </row>
    <row r="2253">
      <c r="F2253">
        <f>F2252+1</f>
        <v/>
      </c>
      <c r="G2253" s="92">
        <f>EXP($C$12+$C$8*_xlfn.NORM.S.INV(RAND()))</f>
        <v/>
      </c>
    </row>
    <row r="2254">
      <c r="F2254">
        <f>F2253+1</f>
        <v/>
      </c>
      <c r="G2254" s="92">
        <f>EXP($C$12+$C$8*_xlfn.NORM.S.INV(RAND()))</f>
        <v/>
      </c>
    </row>
    <row r="2255">
      <c r="F2255">
        <f>F2254+1</f>
        <v/>
      </c>
      <c r="G2255" s="92">
        <f>EXP($C$12+$C$8*_xlfn.NORM.S.INV(RAND()))</f>
        <v/>
      </c>
    </row>
    <row r="2256">
      <c r="F2256">
        <f>F2255+1</f>
        <v/>
      </c>
      <c r="G2256" s="92">
        <f>EXP($C$12+$C$8*_xlfn.NORM.S.INV(RAND()))</f>
        <v/>
      </c>
    </row>
    <row r="2257">
      <c r="F2257">
        <f>F2256+1</f>
        <v/>
      </c>
      <c r="G2257" s="92">
        <f>EXP($C$12+$C$8*_xlfn.NORM.S.INV(RAND()))</f>
        <v/>
      </c>
    </row>
    <row r="2258">
      <c r="F2258">
        <f>F2257+1</f>
        <v/>
      </c>
      <c r="G2258" s="92">
        <f>EXP($C$12+$C$8*_xlfn.NORM.S.INV(RAND()))</f>
        <v/>
      </c>
    </row>
    <row r="2259">
      <c r="F2259">
        <f>F2258+1</f>
        <v/>
      </c>
      <c r="G2259" s="92">
        <f>EXP($C$12+$C$8*_xlfn.NORM.S.INV(RAND()))</f>
        <v/>
      </c>
    </row>
    <row r="2260">
      <c r="F2260">
        <f>F2259+1</f>
        <v/>
      </c>
      <c r="G2260" s="92">
        <f>EXP($C$12+$C$8*_xlfn.NORM.S.INV(RAND()))</f>
        <v/>
      </c>
    </row>
    <row r="2261">
      <c r="F2261">
        <f>F2260+1</f>
        <v/>
      </c>
      <c r="G2261" s="92">
        <f>EXP($C$12+$C$8*_xlfn.NORM.S.INV(RAND()))</f>
        <v/>
      </c>
    </row>
    <row r="2262">
      <c r="F2262">
        <f>F2261+1</f>
        <v/>
      </c>
      <c r="G2262" s="92">
        <f>EXP($C$12+$C$8*_xlfn.NORM.S.INV(RAND()))</f>
        <v/>
      </c>
    </row>
    <row r="2263">
      <c r="F2263">
        <f>F2262+1</f>
        <v/>
      </c>
      <c r="G2263" s="92">
        <f>EXP($C$12+$C$8*_xlfn.NORM.S.INV(RAND()))</f>
        <v/>
      </c>
    </row>
    <row r="2264">
      <c r="F2264">
        <f>F2263+1</f>
        <v/>
      </c>
      <c r="G2264" s="92">
        <f>EXP($C$12+$C$8*_xlfn.NORM.S.INV(RAND()))</f>
        <v/>
      </c>
    </row>
    <row r="2265">
      <c r="F2265">
        <f>F2264+1</f>
        <v/>
      </c>
      <c r="G2265" s="92">
        <f>EXP($C$12+$C$8*_xlfn.NORM.S.INV(RAND()))</f>
        <v/>
      </c>
    </row>
    <row r="2266">
      <c r="F2266">
        <f>F2265+1</f>
        <v/>
      </c>
      <c r="G2266" s="92">
        <f>EXP($C$12+$C$8*_xlfn.NORM.S.INV(RAND()))</f>
        <v/>
      </c>
    </row>
    <row r="2267">
      <c r="F2267">
        <f>F2266+1</f>
        <v/>
      </c>
      <c r="G2267" s="92">
        <f>EXP($C$12+$C$8*_xlfn.NORM.S.INV(RAND()))</f>
        <v/>
      </c>
    </row>
    <row r="2268">
      <c r="F2268">
        <f>F2267+1</f>
        <v/>
      </c>
      <c r="G2268" s="92">
        <f>EXP($C$12+$C$8*_xlfn.NORM.S.INV(RAND()))</f>
        <v/>
      </c>
    </row>
    <row r="2269">
      <c r="F2269">
        <f>F2268+1</f>
        <v/>
      </c>
      <c r="G2269" s="92">
        <f>EXP($C$12+$C$8*_xlfn.NORM.S.INV(RAND()))</f>
        <v/>
      </c>
    </row>
    <row r="2270">
      <c r="F2270">
        <f>F2269+1</f>
        <v/>
      </c>
      <c r="G2270" s="92">
        <f>EXP($C$12+$C$8*_xlfn.NORM.S.INV(RAND()))</f>
        <v/>
      </c>
    </row>
    <row r="2271">
      <c r="F2271">
        <f>F2270+1</f>
        <v/>
      </c>
      <c r="G2271" s="92">
        <f>EXP($C$12+$C$8*_xlfn.NORM.S.INV(RAND()))</f>
        <v/>
      </c>
    </row>
    <row r="2272">
      <c r="F2272">
        <f>F2271+1</f>
        <v/>
      </c>
      <c r="G2272" s="92">
        <f>EXP($C$12+$C$8*_xlfn.NORM.S.INV(RAND()))</f>
        <v/>
      </c>
    </row>
    <row r="2273">
      <c r="F2273">
        <f>F2272+1</f>
        <v/>
      </c>
      <c r="G2273" s="92">
        <f>EXP($C$12+$C$8*_xlfn.NORM.S.INV(RAND()))</f>
        <v/>
      </c>
    </row>
    <row r="2274">
      <c r="F2274">
        <f>F2273+1</f>
        <v/>
      </c>
      <c r="G2274" s="92">
        <f>EXP($C$12+$C$8*_xlfn.NORM.S.INV(RAND()))</f>
        <v/>
      </c>
    </row>
    <row r="2275">
      <c r="F2275">
        <f>F2274+1</f>
        <v/>
      </c>
      <c r="G2275" s="92">
        <f>EXP($C$12+$C$8*_xlfn.NORM.S.INV(RAND()))</f>
        <v/>
      </c>
    </row>
    <row r="2276">
      <c r="F2276">
        <f>F2275+1</f>
        <v/>
      </c>
      <c r="G2276" s="92">
        <f>EXP($C$12+$C$8*_xlfn.NORM.S.INV(RAND()))</f>
        <v/>
      </c>
    </row>
    <row r="2277">
      <c r="F2277">
        <f>F2276+1</f>
        <v/>
      </c>
      <c r="G2277" s="92">
        <f>EXP($C$12+$C$8*_xlfn.NORM.S.INV(RAND()))</f>
        <v/>
      </c>
    </row>
    <row r="2278">
      <c r="F2278">
        <f>F2277+1</f>
        <v/>
      </c>
      <c r="G2278" s="92">
        <f>EXP($C$12+$C$8*_xlfn.NORM.S.INV(RAND()))</f>
        <v/>
      </c>
    </row>
    <row r="2279">
      <c r="F2279">
        <f>F2278+1</f>
        <v/>
      </c>
      <c r="G2279" s="92">
        <f>EXP($C$12+$C$8*_xlfn.NORM.S.INV(RAND()))</f>
        <v/>
      </c>
    </row>
    <row r="2280">
      <c r="F2280">
        <f>F2279+1</f>
        <v/>
      </c>
      <c r="G2280" s="92">
        <f>EXP($C$12+$C$8*_xlfn.NORM.S.INV(RAND()))</f>
        <v/>
      </c>
    </row>
    <row r="2281">
      <c r="F2281">
        <f>F2280+1</f>
        <v/>
      </c>
      <c r="G2281" s="92">
        <f>EXP($C$12+$C$8*_xlfn.NORM.S.INV(RAND()))</f>
        <v/>
      </c>
    </row>
    <row r="2282">
      <c r="F2282">
        <f>F2281+1</f>
        <v/>
      </c>
      <c r="G2282" s="92">
        <f>EXP($C$12+$C$8*_xlfn.NORM.S.INV(RAND()))</f>
        <v/>
      </c>
    </row>
    <row r="2283">
      <c r="F2283">
        <f>F2282+1</f>
        <v/>
      </c>
      <c r="G2283" s="92">
        <f>EXP($C$12+$C$8*_xlfn.NORM.S.INV(RAND()))</f>
        <v/>
      </c>
    </row>
    <row r="2284">
      <c r="F2284">
        <f>F2283+1</f>
        <v/>
      </c>
      <c r="G2284" s="92">
        <f>EXP($C$12+$C$8*_xlfn.NORM.S.INV(RAND()))</f>
        <v/>
      </c>
    </row>
    <row r="2285">
      <c r="F2285">
        <f>F2284+1</f>
        <v/>
      </c>
      <c r="G2285" s="92">
        <f>EXP($C$12+$C$8*_xlfn.NORM.S.INV(RAND()))</f>
        <v/>
      </c>
    </row>
    <row r="2286">
      <c r="F2286">
        <f>F2285+1</f>
        <v/>
      </c>
      <c r="G2286" s="92">
        <f>EXP($C$12+$C$8*_xlfn.NORM.S.INV(RAND()))</f>
        <v/>
      </c>
    </row>
    <row r="2287">
      <c r="F2287">
        <f>F2286+1</f>
        <v/>
      </c>
      <c r="G2287" s="92">
        <f>EXP($C$12+$C$8*_xlfn.NORM.S.INV(RAND()))</f>
        <v/>
      </c>
    </row>
    <row r="2288">
      <c r="F2288">
        <f>F2287+1</f>
        <v/>
      </c>
      <c r="G2288" s="92">
        <f>EXP($C$12+$C$8*_xlfn.NORM.S.INV(RAND()))</f>
        <v/>
      </c>
    </row>
    <row r="2289">
      <c r="F2289">
        <f>F2288+1</f>
        <v/>
      </c>
      <c r="G2289" s="92">
        <f>EXP($C$12+$C$8*_xlfn.NORM.S.INV(RAND()))</f>
        <v/>
      </c>
    </row>
    <row r="2290">
      <c r="F2290">
        <f>F2289+1</f>
        <v/>
      </c>
      <c r="G2290" s="92">
        <f>EXP($C$12+$C$8*_xlfn.NORM.S.INV(RAND()))</f>
        <v/>
      </c>
    </row>
    <row r="2291">
      <c r="F2291">
        <f>F2290+1</f>
        <v/>
      </c>
      <c r="G2291" s="92">
        <f>EXP($C$12+$C$8*_xlfn.NORM.S.INV(RAND()))</f>
        <v/>
      </c>
    </row>
    <row r="2292">
      <c r="F2292">
        <f>F2291+1</f>
        <v/>
      </c>
      <c r="G2292" s="92">
        <f>EXP($C$12+$C$8*_xlfn.NORM.S.INV(RAND()))</f>
        <v/>
      </c>
    </row>
    <row r="2293">
      <c r="F2293">
        <f>F2292+1</f>
        <v/>
      </c>
      <c r="G2293" s="92">
        <f>EXP($C$12+$C$8*_xlfn.NORM.S.INV(RAND()))</f>
        <v/>
      </c>
    </row>
    <row r="2294">
      <c r="F2294">
        <f>F2293+1</f>
        <v/>
      </c>
      <c r="G2294" s="92">
        <f>EXP($C$12+$C$8*_xlfn.NORM.S.INV(RAND()))</f>
        <v/>
      </c>
    </row>
    <row r="2295">
      <c r="F2295">
        <f>F2294+1</f>
        <v/>
      </c>
      <c r="G2295" s="92">
        <f>EXP($C$12+$C$8*_xlfn.NORM.S.INV(RAND()))</f>
        <v/>
      </c>
    </row>
    <row r="2296">
      <c r="F2296">
        <f>F2295+1</f>
        <v/>
      </c>
      <c r="G2296" s="92">
        <f>EXP($C$12+$C$8*_xlfn.NORM.S.INV(RAND()))</f>
        <v/>
      </c>
    </row>
    <row r="2297">
      <c r="F2297">
        <f>F2296+1</f>
        <v/>
      </c>
      <c r="G2297" s="92">
        <f>EXP($C$12+$C$8*_xlfn.NORM.S.INV(RAND()))</f>
        <v/>
      </c>
    </row>
    <row r="2298">
      <c r="F2298">
        <f>F2297+1</f>
        <v/>
      </c>
      <c r="G2298" s="92">
        <f>EXP($C$12+$C$8*_xlfn.NORM.S.INV(RAND()))</f>
        <v/>
      </c>
    </row>
    <row r="2299">
      <c r="F2299">
        <f>F2298+1</f>
        <v/>
      </c>
      <c r="G2299" s="92">
        <f>EXP($C$12+$C$8*_xlfn.NORM.S.INV(RAND()))</f>
        <v/>
      </c>
    </row>
    <row r="2300">
      <c r="F2300">
        <f>F2299+1</f>
        <v/>
      </c>
      <c r="G2300" s="92">
        <f>EXP($C$12+$C$8*_xlfn.NORM.S.INV(RAND()))</f>
        <v/>
      </c>
    </row>
    <row r="2301">
      <c r="F2301">
        <f>F2300+1</f>
        <v/>
      </c>
      <c r="G2301" s="92">
        <f>EXP($C$12+$C$8*_xlfn.NORM.S.INV(RAND()))</f>
        <v/>
      </c>
    </row>
    <row r="2302">
      <c r="F2302">
        <f>F2301+1</f>
        <v/>
      </c>
      <c r="G2302" s="92">
        <f>EXP($C$12+$C$8*_xlfn.NORM.S.INV(RAND()))</f>
        <v/>
      </c>
    </row>
    <row r="2303">
      <c r="F2303">
        <f>F2302+1</f>
        <v/>
      </c>
      <c r="G2303" s="92">
        <f>EXP($C$12+$C$8*_xlfn.NORM.S.INV(RAND()))</f>
        <v/>
      </c>
    </row>
    <row r="2304">
      <c r="F2304">
        <f>F2303+1</f>
        <v/>
      </c>
      <c r="G2304" s="92">
        <f>EXP($C$12+$C$8*_xlfn.NORM.S.INV(RAND()))</f>
        <v/>
      </c>
    </row>
    <row r="2305">
      <c r="F2305">
        <f>F2304+1</f>
        <v/>
      </c>
      <c r="G2305" s="92">
        <f>EXP($C$12+$C$8*_xlfn.NORM.S.INV(RAND()))</f>
        <v/>
      </c>
    </row>
    <row r="2306">
      <c r="F2306">
        <f>F2305+1</f>
        <v/>
      </c>
      <c r="G2306" s="92">
        <f>EXP($C$12+$C$8*_xlfn.NORM.S.INV(RAND()))</f>
        <v/>
      </c>
    </row>
    <row r="2307">
      <c r="F2307">
        <f>F2306+1</f>
        <v/>
      </c>
      <c r="G2307" s="92">
        <f>EXP($C$12+$C$8*_xlfn.NORM.S.INV(RAND()))</f>
        <v/>
      </c>
    </row>
    <row r="2308">
      <c r="F2308">
        <f>F2307+1</f>
        <v/>
      </c>
      <c r="G2308" s="92">
        <f>EXP($C$12+$C$8*_xlfn.NORM.S.INV(RAND()))</f>
        <v/>
      </c>
    </row>
    <row r="2309">
      <c r="F2309">
        <f>F2308+1</f>
        <v/>
      </c>
      <c r="G2309" s="92">
        <f>EXP($C$12+$C$8*_xlfn.NORM.S.INV(RAND()))</f>
        <v/>
      </c>
    </row>
    <row r="2310">
      <c r="F2310">
        <f>F2309+1</f>
        <v/>
      </c>
      <c r="G2310" s="92">
        <f>EXP($C$12+$C$8*_xlfn.NORM.S.INV(RAND()))</f>
        <v/>
      </c>
    </row>
    <row r="2311">
      <c r="F2311">
        <f>F2310+1</f>
        <v/>
      </c>
      <c r="G2311" s="92">
        <f>EXP($C$12+$C$8*_xlfn.NORM.S.INV(RAND()))</f>
        <v/>
      </c>
    </row>
    <row r="2312">
      <c r="F2312">
        <f>F2311+1</f>
        <v/>
      </c>
      <c r="G2312" s="92">
        <f>EXP($C$12+$C$8*_xlfn.NORM.S.INV(RAND()))</f>
        <v/>
      </c>
    </row>
    <row r="2313">
      <c r="F2313">
        <f>F2312+1</f>
        <v/>
      </c>
      <c r="G2313" s="92">
        <f>EXP($C$12+$C$8*_xlfn.NORM.S.INV(RAND()))</f>
        <v/>
      </c>
    </row>
    <row r="2314">
      <c r="F2314">
        <f>F2313+1</f>
        <v/>
      </c>
      <c r="G2314" s="92">
        <f>EXP($C$12+$C$8*_xlfn.NORM.S.INV(RAND()))</f>
        <v/>
      </c>
    </row>
    <row r="2315">
      <c r="F2315">
        <f>F2314+1</f>
        <v/>
      </c>
      <c r="G2315" s="92">
        <f>EXP($C$12+$C$8*_xlfn.NORM.S.INV(RAND()))</f>
        <v/>
      </c>
    </row>
    <row r="2316">
      <c r="F2316">
        <f>F2315+1</f>
        <v/>
      </c>
      <c r="G2316" s="92">
        <f>EXP($C$12+$C$8*_xlfn.NORM.S.INV(RAND()))</f>
        <v/>
      </c>
    </row>
    <row r="2317">
      <c r="F2317">
        <f>F2316+1</f>
        <v/>
      </c>
      <c r="G2317" s="92">
        <f>EXP($C$12+$C$8*_xlfn.NORM.S.INV(RAND()))</f>
        <v/>
      </c>
    </row>
    <row r="2318">
      <c r="F2318">
        <f>F2317+1</f>
        <v/>
      </c>
      <c r="G2318" s="92">
        <f>EXP($C$12+$C$8*_xlfn.NORM.S.INV(RAND()))</f>
        <v/>
      </c>
    </row>
    <row r="2319">
      <c r="F2319">
        <f>F2318+1</f>
        <v/>
      </c>
      <c r="G2319" s="92">
        <f>EXP($C$12+$C$8*_xlfn.NORM.S.INV(RAND()))</f>
        <v/>
      </c>
    </row>
    <row r="2320">
      <c r="F2320">
        <f>F2319+1</f>
        <v/>
      </c>
      <c r="G2320" s="92">
        <f>EXP($C$12+$C$8*_xlfn.NORM.S.INV(RAND()))</f>
        <v/>
      </c>
    </row>
    <row r="2321">
      <c r="F2321">
        <f>F2320+1</f>
        <v/>
      </c>
      <c r="G2321" s="92">
        <f>EXP($C$12+$C$8*_xlfn.NORM.S.INV(RAND()))</f>
        <v/>
      </c>
    </row>
    <row r="2322">
      <c r="F2322">
        <f>F2321+1</f>
        <v/>
      </c>
      <c r="G2322" s="92">
        <f>EXP($C$12+$C$8*_xlfn.NORM.S.INV(RAND()))</f>
        <v/>
      </c>
    </row>
    <row r="2323">
      <c r="F2323">
        <f>F2322+1</f>
        <v/>
      </c>
      <c r="G2323" s="92">
        <f>EXP($C$12+$C$8*_xlfn.NORM.S.INV(RAND()))</f>
        <v/>
      </c>
    </row>
    <row r="2324">
      <c r="F2324">
        <f>F2323+1</f>
        <v/>
      </c>
      <c r="G2324" s="92">
        <f>EXP($C$12+$C$8*_xlfn.NORM.S.INV(RAND()))</f>
        <v/>
      </c>
    </row>
    <row r="2325">
      <c r="F2325">
        <f>F2324+1</f>
        <v/>
      </c>
      <c r="G2325" s="92">
        <f>EXP($C$12+$C$8*_xlfn.NORM.S.INV(RAND()))</f>
        <v/>
      </c>
    </row>
    <row r="2326">
      <c r="F2326">
        <f>F2325+1</f>
        <v/>
      </c>
      <c r="G2326" s="92">
        <f>EXP($C$12+$C$8*_xlfn.NORM.S.INV(RAND()))</f>
        <v/>
      </c>
    </row>
    <row r="2327">
      <c r="F2327">
        <f>F2326+1</f>
        <v/>
      </c>
      <c r="G2327" s="92">
        <f>EXP($C$12+$C$8*_xlfn.NORM.S.INV(RAND()))</f>
        <v/>
      </c>
    </row>
    <row r="2328">
      <c r="F2328">
        <f>F2327+1</f>
        <v/>
      </c>
      <c r="G2328" s="92">
        <f>EXP($C$12+$C$8*_xlfn.NORM.S.INV(RAND()))</f>
        <v/>
      </c>
    </row>
    <row r="2329">
      <c r="F2329">
        <f>F2328+1</f>
        <v/>
      </c>
      <c r="G2329" s="92">
        <f>EXP($C$12+$C$8*_xlfn.NORM.S.INV(RAND()))</f>
        <v/>
      </c>
    </row>
    <row r="2330">
      <c r="F2330">
        <f>F2329+1</f>
        <v/>
      </c>
      <c r="G2330" s="92">
        <f>EXP($C$12+$C$8*_xlfn.NORM.S.INV(RAND()))</f>
        <v/>
      </c>
    </row>
    <row r="2331">
      <c r="F2331">
        <f>F2330+1</f>
        <v/>
      </c>
      <c r="G2331" s="92">
        <f>EXP($C$12+$C$8*_xlfn.NORM.S.INV(RAND()))</f>
        <v/>
      </c>
    </row>
    <row r="2332">
      <c r="F2332">
        <f>F2331+1</f>
        <v/>
      </c>
      <c r="G2332" s="92">
        <f>EXP($C$12+$C$8*_xlfn.NORM.S.INV(RAND()))</f>
        <v/>
      </c>
    </row>
    <row r="2333">
      <c r="F2333">
        <f>F2332+1</f>
        <v/>
      </c>
      <c r="G2333" s="92">
        <f>EXP($C$12+$C$8*_xlfn.NORM.S.INV(RAND()))</f>
        <v/>
      </c>
    </row>
    <row r="2334">
      <c r="F2334">
        <f>F2333+1</f>
        <v/>
      </c>
      <c r="G2334" s="92">
        <f>EXP($C$12+$C$8*_xlfn.NORM.S.INV(RAND()))</f>
        <v/>
      </c>
    </row>
    <row r="2335">
      <c r="F2335">
        <f>F2334+1</f>
        <v/>
      </c>
      <c r="G2335" s="92">
        <f>EXP($C$12+$C$8*_xlfn.NORM.S.INV(RAND()))</f>
        <v/>
      </c>
    </row>
    <row r="2336">
      <c r="F2336">
        <f>F2335+1</f>
        <v/>
      </c>
      <c r="G2336" s="92">
        <f>EXP($C$12+$C$8*_xlfn.NORM.S.INV(RAND()))</f>
        <v/>
      </c>
    </row>
    <row r="2337">
      <c r="F2337">
        <f>F2336+1</f>
        <v/>
      </c>
      <c r="G2337" s="92">
        <f>EXP($C$12+$C$8*_xlfn.NORM.S.INV(RAND()))</f>
        <v/>
      </c>
    </row>
    <row r="2338">
      <c r="F2338">
        <f>F2337+1</f>
        <v/>
      </c>
      <c r="G2338" s="92">
        <f>EXP($C$12+$C$8*_xlfn.NORM.S.INV(RAND()))</f>
        <v/>
      </c>
    </row>
    <row r="2339">
      <c r="F2339">
        <f>F2338+1</f>
        <v/>
      </c>
      <c r="G2339" s="92">
        <f>EXP($C$12+$C$8*_xlfn.NORM.S.INV(RAND()))</f>
        <v/>
      </c>
    </row>
    <row r="2340">
      <c r="F2340">
        <f>F2339+1</f>
        <v/>
      </c>
      <c r="G2340" s="92">
        <f>EXP($C$12+$C$8*_xlfn.NORM.S.INV(RAND()))</f>
        <v/>
      </c>
    </row>
    <row r="2341">
      <c r="F2341">
        <f>F2340+1</f>
        <v/>
      </c>
      <c r="G2341" s="92">
        <f>EXP($C$12+$C$8*_xlfn.NORM.S.INV(RAND()))</f>
        <v/>
      </c>
    </row>
    <row r="2342">
      <c r="F2342">
        <f>F2341+1</f>
        <v/>
      </c>
      <c r="G2342" s="92">
        <f>EXP($C$12+$C$8*_xlfn.NORM.S.INV(RAND()))</f>
        <v/>
      </c>
    </row>
    <row r="2343">
      <c r="F2343">
        <f>F2342+1</f>
        <v/>
      </c>
      <c r="G2343" s="92">
        <f>EXP($C$12+$C$8*_xlfn.NORM.S.INV(RAND()))</f>
        <v/>
      </c>
    </row>
    <row r="2344">
      <c r="F2344">
        <f>F2343+1</f>
        <v/>
      </c>
      <c r="G2344" s="92">
        <f>EXP($C$12+$C$8*_xlfn.NORM.S.INV(RAND()))</f>
        <v/>
      </c>
    </row>
    <row r="2345">
      <c r="F2345">
        <f>F2344+1</f>
        <v/>
      </c>
      <c r="G2345" s="92">
        <f>EXP($C$12+$C$8*_xlfn.NORM.S.INV(RAND()))</f>
        <v/>
      </c>
    </row>
    <row r="2346">
      <c r="F2346">
        <f>F2345+1</f>
        <v/>
      </c>
      <c r="G2346" s="92">
        <f>EXP($C$12+$C$8*_xlfn.NORM.S.INV(RAND()))</f>
        <v/>
      </c>
    </row>
    <row r="2347">
      <c r="F2347">
        <f>F2346+1</f>
        <v/>
      </c>
      <c r="G2347" s="92">
        <f>EXP($C$12+$C$8*_xlfn.NORM.S.INV(RAND()))</f>
        <v/>
      </c>
    </row>
    <row r="2348">
      <c r="F2348">
        <f>F2347+1</f>
        <v/>
      </c>
      <c r="G2348" s="92">
        <f>EXP($C$12+$C$8*_xlfn.NORM.S.INV(RAND()))</f>
        <v/>
      </c>
    </row>
    <row r="2349">
      <c r="F2349">
        <f>F2348+1</f>
        <v/>
      </c>
      <c r="G2349" s="92">
        <f>EXP($C$12+$C$8*_xlfn.NORM.S.INV(RAND()))</f>
        <v/>
      </c>
    </row>
    <row r="2350">
      <c r="F2350">
        <f>F2349+1</f>
        <v/>
      </c>
      <c r="G2350" s="92">
        <f>EXP($C$12+$C$8*_xlfn.NORM.S.INV(RAND()))</f>
        <v/>
      </c>
    </row>
    <row r="2351">
      <c r="F2351">
        <f>F2350+1</f>
        <v/>
      </c>
      <c r="G2351" s="92">
        <f>EXP($C$12+$C$8*_xlfn.NORM.S.INV(RAND()))</f>
        <v/>
      </c>
    </row>
    <row r="2352">
      <c r="F2352">
        <f>F2351+1</f>
        <v/>
      </c>
      <c r="G2352" s="92">
        <f>EXP($C$12+$C$8*_xlfn.NORM.S.INV(RAND()))</f>
        <v/>
      </c>
    </row>
    <row r="2353">
      <c r="F2353">
        <f>F2352+1</f>
        <v/>
      </c>
      <c r="G2353" s="92">
        <f>EXP($C$12+$C$8*_xlfn.NORM.S.INV(RAND()))</f>
        <v/>
      </c>
    </row>
    <row r="2354">
      <c r="F2354">
        <f>F2353+1</f>
        <v/>
      </c>
      <c r="G2354" s="92">
        <f>EXP($C$12+$C$8*_xlfn.NORM.S.INV(RAND()))</f>
        <v/>
      </c>
    </row>
    <row r="2355">
      <c r="F2355">
        <f>F2354+1</f>
        <v/>
      </c>
      <c r="G2355" s="92">
        <f>EXP($C$12+$C$8*_xlfn.NORM.S.INV(RAND()))</f>
        <v/>
      </c>
    </row>
    <row r="2356">
      <c r="F2356">
        <f>F2355+1</f>
        <v/>
      </c>
      <c r="G2356" s="92">
        <f>EXP($C$12+$C$8*_xlfn.NORM.S.INV(RAND()))</f>
        <v/>
      </c>
    </row>
    <row r="2357">
      <c r="F2357">
        <f>F2356+1</f>
        <v/>
      </c>
      <c r="G2357" s="92">
        <f>EXP($C$12+$C$8*_xlfn.NORM.S.INV(RAND()))</f>
        <v/>
      </c>
    </row>
    <row r="2358">
      <c r="F2358">
        <f>F2357+1</f>
        <v/>
      </c>
      <c r="G2358" s="92">
        <f>EXP($C$12+$C$8*_xlfn.NORM.S.INV(RAND()))</f>
        <v/>
      </c>
    </row>
    <row r="2359">
      <c r="F2359">
        <f>F2358+1</f>
        <v/>
      </c>
      <c r="G2359" s="92">
        <f>EXP($C$12+$C$8*_xlfn.NORM.S.INV(RAND()))</f>
        <v/>
      </c>
    </row>
    <row r="2360">
      <c r="F2360">
        <f>F2359+1</f>
        <v/>
      </c>
      <c r="G2360" s="92">
        <f>EXP($C$12+$C$8*_xlfn.NORM.S.INV(RAND()))</f>
        <v/>
      </c>
    </row>
    <row r="2361">
      <c r="F2361">
        <f>F2360+1</f>
        <v/>
      </c>
      <c r="G2361" s="92">
        <f>EXP($C$12+$C$8*_xlfn.NORM.S.INV(RAND()))</f>
        <v/>
      </c>
    </row>
    <row r="2362">
      <c r="F2362">
        <f>F2361+1</f>
        <v/>
      </c>
      <c r="G2362" s="92">
        <f>EXP($C$12+$C$8*_xlfn.NORM.S.INV(RAND()))</f>
        <v/>
      </c>
    </row>
    <row r="2363">
      <c r="F2363">
        <f>F2362+1</f>
        <v/>
      </c>
      <c r="G2363" s="92">
        <f>EXP($C$12+$C$8*_xlfn.NORM.S.INV(RAND()))</f>
        <v/>
      </c>
    </row>
    <row r="2364">
      <c r="F2364">
        <f>F2363+1</f>
        <v/>
      </c>
      <c r="G2364" s="92">
        <f>EXP($C$12+$C$8*_xlfn.NORM.S.INV(RAND()))</f>
        <v/>
      </c>
    </row>
    <row r="2365">
      <c r="F2365">
        <f>F2364+1</f>
        <v/>
      </c>
      <c r="G2365" s="92">
        <f>EXP($C$12+$C$8*_xlfn.NORM.S.INV(RAND()))</f>
        <v/>
      </c>
    </row>
    <row r="2366">
      <c r="F2366">
        <f>F2365+1</f>
        <v/>
      </c>
      <c r="G2366" s="92">
        <f>EXP($C$12+$C$8*_xlfn.NORM.S.INV(RAND()))</f>
        <v/>
      </c>
    </row>
    <row r="2367">
      <c r="F2367">
        <f>F2366+1</f>
        <v/>
      </c>
      <c r="G2367" s="92">
        <f>EXP($C$12+$C$8*_xlfn.NORM.S.INV(RAND()))</f>
        <v/>
      </c>
    </row>
    <row r="2368">
      <c r="F2368">
        <f>F2367+1</f>
        <v/>
      </c>
      <c r="G2368" s="92">
        <f>EXP($C$12+$C$8*_xlfn.NORM.S.INV(RAND()))</f>
        <v/>
      </c>
    </row>
    <row r="2369">
      <c r="F2369">
        <f>F2368+1</f>
        <v/>
      </c>
      <c r="G2369" s="92">
        <f>EXP($C$12+$C$8*_xlfn.NORM.S.INV(RAND()))</f>
        <v/>
      </c>
    </row>
    <row r="2370">
      <c r="F2370">
        <f>F2369+1</f>
        <v/>
      </c>
      <c r="G2370" s="92">
        <f>EXP($C$12+$C$8*_xlfn.NORM.S.INV(RAND()))</f>
        <v/>
      </c>
    </row>
    <row r="2371">
      <c r="F2371">
        <f>F2370+1</f>
        <v/>
      </c>
      <c r="G2371" s="92">
        <f>EXP($C$12+$C$8*_xlfn.NORM.S.INV(RAND()))</f>
        <v/>
      </c>
    </row>
    <row r="2372">
      <c r="F2372">
        <f>F2371+1</f>
        <v/>
      </c>
      <c r="G2372" s="92">
        <f>EXP($C$12+$C$8*_xlfn.NORM.S.INV(RAND()))</f>
        <v/>
      </c>
    </row>
    <row r="2373">
      <c r="F2373">
        <f>F2372+1</f>
        <v/>
      </c>
      <c r="G2373" s="92">
        <f>EXP($C$12+$C$8*_xlfn.NORM.S.INV(RAND()))</f>
        <v/>
      </c>
    </row>
    <row r="2374">
      <c r="F2374">
        <f>F2373+1</f>
        <v/>
      </c>
      <c r="G2374" s="92">
        <f>EXP($C$12+$C$8*_xlfn.NORM.S.INV(RAND()))</f>
        <v/>
      </c>
    </row>
    <row r="2375">
      <c r="F2375">
        <f>F2374+1</f>
        <v/>
      </c>
      <c r="G2375" s="92">
        <f>EXP($C$12+$C$8*_xlfn.NORM.S.INV(RAND()))</f>
        <v/>
      </c>
    </row>
    <row r="2376">
      <c r="F2376">
        <f>F2375+1</f>
        <v/>
      </c>
      <c r="G2376" s="92">
        <f>EXP($C$12+$C$8*_xlfn.NORM.S.INV(RAND()))</f>
        <v/>
      </c>
    </row>
    <row r="2377">
      <c r="F2377">
        <f>F2376+1</f>
        <v/>
      </c>
      <c r="G2377" s="92">
        <f>EXP($C$12+$C$8*_xlfn.NORM.S.INV(RAND()))</f>
        <v/>
      </c>
    </row>
    <row r="2378">
      <c r="F2378">
        <f>F2377+1</f>
        <v/>
      </c>
      <c r="G2378" s="92">
        <f>EXP($C$12+$C$8*_xlfn.NORM.S.INV(RAND()))</f>
        <v/>
      </c>
    </row>
    <row r="2379">
      <c r="F2379">
        <f>F2378+1</f>
        <v/>
      </c>
      <c r="G2379" s="92">
        <f>EXP($C$12+$C$8*_xlfn.NORM.S.INV(RAND()))</f>
        <v/>
      </c>
    </row>
    <row r="2380">
      <c r="F2380">
        <f>F2379+1</f>
        <v/>
      </c>
      <c r="G2380" s="92">
        <f>EXP($C$12+$C$8*_xlfn.NORM.S.INV(RAND()))</f>
        <v/>
      </c>
    </row>
    <row r="2381">
      <c r="F2381">
        <f>F2380+1</f>
        <v/>
      </c>
      <c r="G2381" s="92">
        <f>EXP($C$12+$C$8*_xlfn.NORM.S.INV(RAND()))</f>
        <v/>
      </c>
    </row>
    <row r="2382">
      <c r="F2382">
        <f>F2381+1</f>
        <v/>
      </c>
      <c r="G2382" s="92">
        <f>EXP($C$12+$C$8*_xlfn.NORM.S.INV(RAND()))</f>
        <v/>
      </c>
    </row>
    <row r="2383">
      <c r="F2383">
        <f>F2382+1</f>
        <v/>
      </c>
      <c r="G2383" s="92">
        <f>EXP($C$12+$C$8*_xlfn.NORM.S.INV(RAND()))</f>
        <v/>
      </c>
    </row>
    <row r="2384">
      <c r="F2384">
        <f>F2383+1</f>
        <v/>
      </c>
      <c r="G2384" s="92">
        <f>EXP($C$12+$C$8*_xlfn.NORM.S.INV(RAND()))</f>
        <v/>
      </c>
    </row>
    <row r="2385">
      <c r="F2385">
        <f>F2384+1</f>
        <v/>
      </c>
      <c r="G2385" s="92">
        <f>EXP($C$12+$C$8*_xlfn.NORM.S.INV(RAND()))</f>
        <v/>
      </c>
    </row>
    <row r="2386">
      <c r="F2386">
        <f>F2385+1</f>
        <v/>
      </c>
      <c r="G2386" s="92">
        <f>EXP($C$12+$C$8*_xlfn.NORM.S.INV(RAND()))</f>
        <v/>
      </c>
    </row>
    <row r="2387">
      <c r="F2387">
        <f>F2386+1</f>
        <v/>
      </c>
      <c r="G2387" s="92">
        <f>EXP($C$12+$C$8*_xlfn.NORM.S.INV(RAND()))</f>
        <v/>
      </c>
    </row>
    <row r="2388">
      <c r="F2388">
        <f>F2387+1</f>
        <v/>
      </c>
      <c r="G2388" s="92">
        <f>EXP($C$12+$C$8*_xlfn.NORM.S.INV(RAND()))</f>
        <v/>
      </c>
    </row>
    <row r="2389">
      <c r="F2389">
        <f>F2388+1</f>
        <v/>
      </c>
      <c r="G2389" s="92">
        <f>EXP($C$12+$C$8*_xlfn.NORM.S.INV(RAND()))</f>
        <v/>
      </c>
    </row>
    <row r="2390">
      <c r="F2390">
        <f>F2389+1</f>
        <v/>
      </c>
      <c r="G2390" s="92">
        <f>EXP($C$12+$C$8*_xlfn.NORM.S.INV(RAND()))</f>
        <v/>
      </c>
    </row>
    <row r="2391">
      <c r="F2391">
        <f>F2390+1</f>
        <v/>
      </c>
      <c r="G2391" s="92">
        <f>EXP($C$12+$C$8*_xlfn.NORM.S.INV(RAND()))</f>
        <v/>
      </c>
    </row>
    <row r="2392">
      <c r="F2392">
        <f>F2391+1</f>
        <v/>
      </c>
      <c r="G2392" s="92">
        <f>EXP($C$12+$C$8*_xlfn.NORM.S.INV(RAND()))</f>
        <v/>
      </c>
    </row>
    <row r="2393">
      <c r="F2393">
        <f>F2392+1</f>
        <v/>
      </c>
      <c r="G2393" s="92">
        <f>EXP($C$12+$C$8*_xlfn.NORM.S.INV(RAND()))</f>
        <v/>
      </c>
    </row>
    <row r="2394">
      <c r="F2394">
        <f>F2393+1</f>
        <v/>
      </c>
      <c r="G2394" s="92">
        <f>EXP($C$12+$C$8*_xlfn.NORM.S.INV(RAND()))</f>
        <v/>
      </c>
    </row>
    <row r="2395">
      <c r="F2395">
        <f>F2394+1</f>
        <v/>
      </c>
      <c r="G2395" s="92">
        <f>EXP($C$12+$C$8*_xlfn.NORM.S.INV(RAND()))</f>
        <v/>
      </c>
    </row>
    <row r="2396">
      <c r="F2396">
        <f>F2395+1</f>
        <v/>
      </c>
      <c r="G2396" s="92">
        <f>EXP($C$12+$C$8*_xlfn.NORM.S.INV(RAND()))</f>
        <v/>
      </c>
    </row>
    <row r="2397">
      <c r="F2397">
        <f>F2396+1</f>
        <v/>
      </c>
      <c r="G2397" s="92">
        <f>EXP($C$12+$C$8*_xlfn.NORM.S.INV(RAND()))</f>
        <v/>
      </c>
    </row>
    <row r="2398">
      <c r="F2398">
        <f>F2397+1</f>
        <v/>
      </c>
      <c r="G2398" s="92">
        <f>EXP($C$12+$C$8*_xlfn.NORM.S.INV(RAND()))</f>
        <v/>
      </c>
    </row>
    <row r="2399">
      <c r="F2399">
        <f>F2398+1</f>
        <v/>
      </c>
      <c r="G2399" s="92">
        <f>EXP($C$12+$C$8*_xlfn.NORM.S.INV(RAND()))</f>
        <v/>
      </c>
    </row>
    <row r="2400">
      <c r="F2400">
        <f>F2399+1</f>
        <v/>
      </c>
      <c r="G2400" s="92">
        <f>EXP($C$12+$C$8*_xlfn.NORM.S.INV(RAND()))</f>
        <v/>
      </c>
    </row>
    <row r="2401">
      <c r="F2401">
        <f>F2400+1</f>
        <v/>
      </c>
      <c r="G2401" s="92">
        <f>EXP($C$12+$C$8*_xlfn.NORM.S.INV(RAND()))</f>
        <v/>
      </c>
    </row>
    <row r="2402">
      <c r="F2402">
        <f>F2401+1</f>
        <v/>
      </c>
      <c r="G2402" s="92">
        <f>EXP($C$12+$C$8*_xlfn.NORM.S.INV(RAND()))</f>
        <v/>
      </c>
    </row>
    <row r="2403">
      <c r="F2403">
        <f>F2402+1</f>
        <v/>
      </c>
      <c r="G2403" s="92">
        <f>EXP($C$12+$C$8*_xlfn.NORM.S.INV(RAND()))</f>
        <v/>
      </c>
    </row>
    <row r="2404">
      <c r="F2404">
        <f>F2403+1</f>
        <v/>
      </c>
      <c r="G2404" s="92">
        <f>EXP($C$12+$C$8*_xlfn.NORM.S.INV(RAND()))</f>
        <v/>
      </c>
    </row>
    <row r="2405">
      <c r="F2405">
        <f>F2404+1</f>
        <v/>
      </c>
      <c r="G2405" s="92">
        <f>EXP($C$12+$C$8*_xlfn.NORM.S.INV(RAND()))</f>
        <v/>
      </c>
    </row>
    <row r="2406">
      <c r="F2406">
        <f>F2405+1</f>
        <v/>
      </c>
      <c r="G2406" s="92">
        <f>EXP($C$12+$C$8*_xlfn.NORM.S.INV(RAND()))</f>
        <v/>
      </c>
    </row>
    <row r="2407">
      <c r="F2407">
        <f>F2406+1</f>
        <v/>
      </c>
      <c r="G2407" s="92">
        <f>EXP($C$12+$C$8*_xlfn.NORM.S.INV(RAND()))</f>
        <v/>
      </c>
    </row>
    <row r="2408">
      <c r="F2408">
        <f>F2407+1</f>
        <v/>
      </c>
      <c r="G2408" s="92">
        <f>EXP($C$12+$C$8*_xlfn.NORM.S.INV(RAND()))</f>
        <v/>
      </c>
    </row>
    <row r="2409">
      <c r="F2409">
        <f>F2408+1</f>
        <v/>
      </c>
      <c r="G2409" s="92">
        <f>EXP($C$12+$C$8*_xlfn.NORM.S.INV(RAND()))</f>
        <v/>
      </c>
    </row>
    <row r="2410">
      <c r="F2410">
        <f>F2409+1</f>
        <v/>
      </c>
      <c r="G2410" s="92">
        <f>EXP($C$12+$C$8*_xlfn.NORM.S.INV(RAND()))</f>
        <v/>
      </c>
    </row>
    <row r="2411">
      <c r="F2411">
        <f>F2410+1</f>
        <v/>
      </c>
      <c r="G2411" s="92">
        <f>EXP($C$12+$C$8*_xlfn.NORM.S.INV(RAND()))</f>
        <v/>
      </c>
    </row>
    <row r="2412">
      <c r="F2412">
        <f>F2411+1</f>
        <v/>
      </c>
      <c r="G2412" s="92">
        <f>EXP($C$12+$C$8*_xlfn.NORM.S.INV(RAND()))</f>
        <v/>
      </c>
    </row>
    <row r="2413">
      <c r="F2413">
        <f>F2412+1</f>
        <v/>
      </c>
      <c r="G2413" s="92">
        <f>EXP($C$12+$C$8*_xlfn.NORM.S.INV(RAND()))</f>
        <v/>
      </c>
    </row>
    <row r="2414">
      <c r="F2414">
        <f>F2413+1</f>
        <v/>
      </c>
      <c r="G2414" s="92">
        <f>EXP($C$12+$C$8*_xlfn.NORM.S.INV(RAND()))</f>
        <v/>
      </c>
    </row>
    <row r="2415">
      <c r="F2415">
        <f>F2414+1</f>
        <v/>
      </c>
      <c r="G2415" s="92">
        <f>EXP($C$12+$C$8*_xlfn.NORM.S.INV(RAND()))</f>
        <v/>
      </c>
    </row>
    <row r="2416">
      <c r="F2416">
        <f>F2415+1</f>
        <v/>
      </c>
      <c r="G2416" s="92">
        <f>EXP($C$12+$C$8*_xlfn.NORM.S.INV(RAND()))</f>
        <v/>
      </c>
    </row>
    <row r="2417">
      <c r="F2417">
        <f>F2416+1</f>
        <v/>
      </c>
      <c r="G2417" s="92">
        <f>EXP($C$12+$C$8*_xlfn.NORM.S.INV(RAND()))</f>
        <v/>
      </c>
    </row>
    <row r="2418">
      <c r="F2418">
        <f>F2417+1</f>
        <v/>
      </c>
      <c r="G2418" s="92">
        <f>EXP($C$12+$C$8*_xlfn.NORM.S.INV(RAND()))</f>
        <v/>
      </c>
    </row>
    <row r="2419">
      <c r="F2419">
        <f>F2418+1</f>
        <v/>
      </c>
      <c r="G2419" s="92">
        <f>EXP($C$12+$C$8*_xlfn.NORM.S.INV(RAND()))</f>
        <v/>
      </c>
    </row>
    <row r="2420">
      <c r="F2420">
        <f>F2419+1</f>
        <v/>
      </c>
      <c r="G2420" s="92">
        <f>EXP($C$12+$C$8*_xlfn.NORM.S.INV(RAND()))</f>
        <v/>
      </c>
    </row>
    <row r="2421">
      <c r="F2421">
        <f>F2420+1</f>
        <v/>
      </c>
      <c r="G2421" s="92">
        <f>EXP($C$12+$C$8*_xlfn.NORM.S.INV(RAND()))</f>
        <v/>
      </c>
    </row>
    <row r="2422">
      <c r="F2422">
        <f>F2421+1</f>
        <v/>
      </c>
      <c r="G2422" s="92">
        <f>EXP($C$12+$C$8*_xlfn.NORM.S.INV(RAND()))</f>
        <v/>
      </c>
    </row>
    <row r="2423">
      <c r="F2423">
        <f>F2422+1</f>
        <v/>
      </c>
      <c r="G2423" s="92">
        <f>EXP($C$12+$C$8*_xlfn.NORM.S.INV(RAND()))</f>
        <v/>
      </c>
    </row>
    <row r="2424">
      <c r="F2424">
        <f>F2423+1</f>
        <v/>
      </c>
      <c r="G2424" s="92">
        <f>EXP($C$12+$C$8*_xlfn.NORM.S.INV(RAND()))</f>
        <v/>
      </c>
    </row>
    <row r="2425">
      <c r="F2425">
        <f>F2424+1</f>
        <v/>
      </c>
      <c r="G2425" s="92">
        <f>EXP($C$12+$C$8*_xlfn.NORM.S.INV(RAND()))</f>
        <v/>
      </c>
    </row>
    <row r="2426">
      <c r="F2426">
        <f>F2425+1</f>
        <v/>
      </c>
      <c r="G2426" s="92">
        <f>EXP($C$12+$C$8*_xlfn.NORM.S.INV(RAND()))</f>
        <v/>
      </c>
    </row>
    <row r="2427">
      <c r="F2427">
        <f>F2426+1</f>
        <v/>
      </c>
      <c r="G2427" s="92">
        <f>EXP($C$12+$C$8*_xlfn.NORM.S.INV(RAND()))</f>
        <v/>
      </c>
    </row>
    <row r="2428">
      <c r="F2428">
        <f>F2427+1</f>
        <v/>
      </c>
      <c r="G2428" s="92">
        <f>EXP($C$12+$C$8*_xlfn.NORM.S.INV(RAND()))</f>
        <v/>
      </c>
    </row>
    <row r="2429">
      <c r="F2429">
        <f>F2428+1</f>
        <v/>
      </c>
      <c r="G2429" s="92">
        <f>EXP($C$12+$C$8*_xlfn.NORM.S.INV(RAND()))</f>
        <v/>
      </c>
    </row>
    <row r="2430">
      <c r="F2430">
        <f>F2429+1</f>
        <v/>
      </c>
      <c r="G2430" s="92">
        <f>EXP($C$12+$C$8*_xlfn.NORM.S.INV(RAND()))</f>
        <v/>
      </c>
    </row>
    <row r="2431">
      <c r="F2431">
        <f>F2430+1</f>
        <v/>
      </c>
      <c r="G2431" s="92">
        <f>EXP($C$12+$C$8*_xlfn.NORM.S.INV(RAND()))</f>
        <v/>
      </c>
    </row>
    <row r="2432">
      <c r="F2432">
        <f>F2431+1</f>
        <v/>
      </c>
      <c r="G2432" s="92">
        <f>EXP($C$12+$C$8*_xlfn.NORM.S.INV(RAND()))</f>
        <v/>
      </c>
    </row>
    <row r="2433">
      <c r="F2433">
        <f>F2432+1</f>
        <v/>
      </c>
      <c r="G2433" s="92">
        <f>EXP($C$12+$C$8*_xlfn.NORM.S.INV(RAND()))</f>
        <v/>
      </c>
    </row>
    <row r="2434">
      <c r="F2434">
        <f>F2433+1</f>
        <v/>
      </c>
      <c r="G2434" s="92">
        <f>EXP($C$12+$C$8*_xlfn.NORM.S.INV(RAND()))</f>
        <v/>
      </c>
    </row>
    <row r="2435">
      <c r="F2435">
        <f>F2434+1</f>
        <v/>
      </c>
      <c r="G2435" s="92">
        <f>EXP($C$12+$C$8*_xlfn.NORM.S.INV(RAND()))</f>
        <v/>
      </c>
    </row>
    <row r="2436">
      <c r="F2436">
        <f>F2435+1</f>
        <v/>
      </c>
      <c r="G2436" s="92">
        <f>EXP($C$12+$C$8*_xlfn.NORM.S.INV(RAND()))</f>
        <v/>
      </c>
    </row>
    <row r="2437">
      <c r="F2437">
        <f>F2436+1</f>
        <v/>
      </c>
      <c r="G2437" s="92">
        <f>EXP($C$12+$C$8*_xlfn.NORM.S.INV(RAND()))</f>
        <v/>
      </c>
    </row>
    <row r="2438">
      <c r="F2438">
        <f>F2437+1</f>
        <v/>
      </c>
      <c r="G2438" s="92">
        <f>EXP($C$12+$C$8*_xlfn.NORM.S.INV(RAND()))</f>
        <v/>
      </c>
    </row>
    <row r="2439">
      <c r="F2439">
        <f>F2438+1</f>
        <v/>
      </c>
      <c r="G2439" s="92">
        <f>EXP($C$12+$C$8*_xlfn.NORM.S.INV(RAND()))</f>
        <v/>
      </c>
    </row>
    <row r="2440">
      <c r="F2440">
        <f>F2439+1</f>
        <v/>
      </c>
      <c r="G2440" s="92">
        <f>EXP($C$12+$C$8*_xlfn.NORM.S.INV(RAND()))</f>
        <v/>
      </c>
    </row>
    <row r="2441">
      <c r="F2441">
        <f>F2440+1</f>
        <v/>
      </c>
      <c r="G2441" s="92">
        <f>EXP($C$12+$C$8*_xlfn.NORM.S.INV(RAND()))</f>
        <v/>
      </c>
    </row>
    <row r="2442">
      <c r="F2442">
        <f>F2441+1</f>
        <v/>
      </c>
      <c r="G2442" s="92">
        <f>EXP($C$12+$C$8*_xlfn.NORM.S.INV(RAND()))</f>
        <v/>
      </c>
    </row>
    <row r="2443">
      <c r="F2443">
        <f>F2442+1</f>
        <v/>
      </c>
      <c r="G2443" s="92">
        <f>EXP($C$12+$C$8*_xlfn.NORM.S.INV(RAND()))</f>
        <v/>
      </c>
    </row>
    <row r="2444">
      <c r="F2444">
        <f>F2443+1</f>
        <v/>
      </c>
      <c r="G2444" s="92">
        <f>EXP($C$12+$C$8*_xlfn.NORM.S.INV(RAND()))</f>
        <v/>
      </c>
    </row>
    <row r="2445">
      <c r="F2445">
        <f>F2444+1</f>
        <v/>
      </c>
      <c r="G2445" s="92">
        <f>EXP($C$12+$C$8*_xlfn.NORM.S.INV(RAND()))</f>
        <v/>
      </c>
    </row>
    <row r="2446">
      <c r="F2446">
        <f>F2445+1</f>
        <v/>
      </c>
      <c r="G2446" s="92">
        <f>EXP($C$12+$C$8*_xlfn.NORM.S.INV(RAND()))</f>
        <v/>
      </c>
    </row>
    <row r="2447">
      <c r="F2447">
        <f>F2446+1</f>
        <v/>
      </c>
      <c r="G2447" s="92">
        <f>EXP($C$12+$C$8*_xlfn.NORM.S.INV(RAND()))</f>
        <v/>
      </c>
    </row>
    <row r="2448">
      <c r="F2448">
        <f>F2447+1</f>
        <v/>
      </c>
      <c r="G2448" s="92">
        <f>EXP($C$12+$C$8*_xlfn.NORM.S.INV(RAND()))</f>
        <v/>
      </c>
    </row>
    <row r="2449">
      <c r="F2449">
        <f>F2448+1</f>
        <v/>
      </c>
      <c r="G2449" s="92">
        <f>EXP($C$12+$C$8*_xlfn.NORM.S.INV(RAND()))</f>
        <v/>
      </c>
    </row>
    <row r="2450">
      <c r="F2450">
        <f>F2449+1</f>
        <v/>
      </c>
      <c r="G2450" s="92">
        <f>EXP($C$12+$C$8*_xlfn.NORM.S.INV(RAND()))</f>
        <v/>
      </c>
    </row>
    <row r="2451">
      <c r="F2451">
        <f>F2450+1</f>
        <v/>
      </c>
      <c r="G2451" s="92">
        <f>EXP($C$12+$C$8*_xlfn.NORM.S.INV(RAND()))</f>
        <v/>
      </c>
    </row>
    <row r="2452">
      <c r="F2452">
        <f>F2451+1</f>
        <v/>
      </c>
      <c r="G2452" s="92">
        <f>EXP($C$12+$C$8*_xlfn.NORM.S.INV(RAND()))</f>
        <v/>
      </c>
    </row>
    <row r="2453">
      <c r="F2453">
        <f>F2452+1</f>
        <v/>
      </c>
      <c r="G2453" s="92">
        <f>EXP($C$12+$C$8*_xlfn.NORM.S.INV(RAND()))</f>
        <v/>
      </c>
    </row>
    <row r="2454">
      <c r="F2454">
        <f>F2453+1</f>
        <v/>
      </c>
      <c r="G2454" s="92">
        <f>EXP($C$12+$C$8*_xlfn.NORM.S.INV(RAND()))</f>
        <v/>
      </c>
    </row>
    <row r="2455">
      <c r="F2455">
        <f>F2454+1</f>
        <v/>
      </c>
      <c r="G2455" s="92">
        <f>EXP($C$12+$C$8*_xlfn.NORM.S.INV(RAND()))</f>
        <v/>
      </c>
    </row>
    <row r="2456">
      <c r="F2456">
        <f>F2455+1</f>
        <v/>
      </c>
      <c r="G2456" s="92">
        <f>EXP($C$12+$C$8*_xlfn.NORM.S.INV(RAND()))</f>
        <v/>
      </c>
    </row>
    <row r="2457">
      <c r="F2457">
        <f>F2456+1</f>
        <v/>
      </c>
      <c r="G2457" s="92">
        <f>EXP($C$12+$C$8*_xlfn.NORM.S.INV(RAND()))</f>
        <v/>
      </c>
    </row>
    <row r="2458">
      <c r="F2458">
        <f>F2457+1</f>
        <v/>
      </c>
      <c r="G2458" s="92">
        <f>EXP($C$12+$C$8*_xlfn.NORM.S.INV(RAND()))</f>
        <v/>
      </c>
    </row>
    <row r="2459">
      <c r="F2459">
        <f>F2458+1</f>
        <v/>
      </c>
      <c r="G2459" s="92">
        <f>EXP($C$12+$C$8*_xlfn.NORM.S.INV(RAND()))</f>
        <v/>
      </c>
    </row>
    <row r="2460">
      <c r="F2460">
        <f>F2459+1</f>
        <v/>
      </c>
      <c r="G2460" s="92">
        <f>EXP($C$12+$C$8*_xlfn.NORM.S.INV(RAND()))</f>
        <v/>
      </c>
    </row>
    <row r="2461">
      <c r="F2461">
        <f>F2460+1</f>
        <v/>
      </c>
      <c r="G2461" s="92">
        <f>EXP($C$12+$C$8*_xlfn.NORM.S.INV(RAND()))</f>
        <v/>
      </c>
    </row>
    <row r="2462">
      <c r="F2462">
        <f>F2461+1</f>
        <v/>
      </c>
      <c r="G2462" s="92">
        <f>EXP($C$12+$C$8*_xlfn.NORM.S.INV(RAND()))</f>
        <v/>
      </c>
    </row>
    <row r="2463">
      <c r="F2463">
        <f>F2462+1</f>
        <v/>
      </c>
      <c r="G2463" s="92">
        <f>EXP($C$12+$C$8*_xlfn.NORM.S.INV(RAND()))</f>
        <v/>
      </c>
    </row>
    <row r="2464">
      <c r="F2464">
        <f>F2463+1</f>
        <v/>
      </c>
      <c r="G2464" s="92">
        <f>EXP($C$12+$C$8*_xlfn.NORM.S.INV(RAND()))</f>
        <v/>
      </c>
    </row>
    <row r="2465">
      <c r="F2465">
        <f>F2464+1</f>
        <v/>
      </c>
      <c r="G2465" s="92">
        <f>EXP($C$12+$C$8*_xlfn.NORM.S.INV(RAND()))</f>
        <v/>
      </c>
    </row>
    <row r="2466">
      <c r="F2466">
        <f>F2465+1</f>
        <v/>
      </c>
      <c r="G2466" s="92">
        <f>EXP($C$12+$C$8*_xlfn.NORM.S.INV(RAND()))</f>
        <v/>
      </c>
    </row>
    <row r="2467">
      <c r="F2467">
        <f>F2466+1</f>
        <v/>
      </c>
      <c r="G2467" s="92">
        <f>EXP($C$12+$C$8*_xlfn.NORM.S.INV(RAND()))</f>
        <v/>
      </c>
    </row>
    <row r="2468">
      <c r="F2468">
        <f>F2467+1</f>
        <v/>
      </c>
      <c r="G2468" s="92">
        <f>EXP($C$12+$C$8*_xlfn.NORM.S.INV(RAND()))</f>
        <v/>
      </c>
    </row>
    <row r="2469">
      <c r="F2469">
        <f>F2468+1</f>
        <v/>
      </c>
      <c r="G2469" s="92">
        <f>EXP($C$12+$C$8*_xlfn.NORM.S.INV(RAND()))</f>
        <v/>
      </c>
    </row>
    <row r="2470">
      <c r="F2470">
        <f>F2469+1</f>
        <v/>
      </c>
      <c r="G2470" s="92">
        <f>EXP($C$12+$C$8*_xlfn.NORM.S.INV(RAND()))</f>
        <v/>
      </c>
    </row>
    <row r="2471">
      <c r="F2471">
        <f>F2470+1</f>
        <v/>
      </c>
      <c r="G2471" s="92">
        <f>EXP($C$12+$C$8*_xlfn.NORM.S.INV(RAND()))</f>
        <v/>
      </c>
    </row>
    <row r="2472">
      <c r="F2472">
        <f>F2471+1</f>
        <v/>
      </c>
      <c r="G2472" s="92">
        <f>EXP($C$12+$C$8*_xlfn.NORM.S.INV(RAND()))</f>
        <v/>
      </c>
    </row>
    <row r="2473">
      <c r="F2473">
        <f>F2472+1</f>
        <v/>
      </c>
      <c r="G2473" s="92">
        <f>EXP($C$12+$C$8*_xlfn.NORM.S.INV(RAND()))</f>
        <v/>
      </c>
    </row>
    <row r="2474">
      <c r="F2474">
        <f>F2473+1</f>
        <v/>
      </c>
      <c r="G2474" s="92">
        <f>EXP($C$12+$C$8*_xlfn.NORM.S.INV(RAND()))</f>
        <v/>
      </c>
    </row>
    <row r="2475">
      <c r="F2475">
        <f>F2474+1</f>
        <v/>
      </c>
      <c r="G2475" s="92">
        <f>EXP($C$12+$C$8*_xlfn.NORM.S.INV(RAND()))</f>
        <v/>
      </c>
    </row>
    <row r="2476">
      <c r="F2476">
        <f>F2475+1</f>
        <v/>
      </c>
      <c r="G2476" s="92">
        <f>EXP($C$12+$C$8*_xlfn.NORM.S.INV(RAND()))</f>
        <v/>
      </c>
    </row>
    <row r="2477">
      <c r="F2477">
        <f>F2476+1</f>
        <v/>
      </c>
      <c r="G2477" s="92">
        <f>EXP($C$12+$C$8*_xlfn.NORM.S.INV(RAND()))</f>
        <v/>
      </c>
    </row>
    <row r="2478">
      <c r="F2478">
        <f>F2477+1</f>
        <v/>
      </c>
      <c r="G2478" s="92">
        <f>EXP($C$12+$C$8*_xlfn.NORM.S.INV(RAND()))</f>
        <v/>
      </c>
    </row>
    <row r="2479">
      <c r="F2479">
        <f>F2478+1</f>
        <v/>
      </c>
      <c r="G2479" s="92">
        <f>EXP($C$12+$C$8*_xlfn.NORM.S.INV(RAND()))</f>
        <v/>
      </c>
    </row>
    <row r="2480">
      <c r="F2480">
        <f>F2479+1</f>
        <v/>
      </c>
      <c r="G2480" s="92">
        <f>EXP($C$12+$C$8*_xlfn.NORM.S.INV(RAND()))</f>
        <v/>
      </c>
    </row>
    <row r="2481">
      <c r="F2481">
        <f>F2480+1</f>
        <v/>
      </c>
      <c r="G2481" s="92">
        <f>EXP($C$12+$C$8*_xlfn.NORM.S.INV(RAND()))</f>
        <v/>
      </c>
    </row>
    <row r="2482">
      <c r="F2482">
        <f>F2481+1</f>
        <v/>
      </c>
      <c r="G2482" s="92">
        <f>EXP($C$12+$C$8*_xlfn.NORM.S.INV(RAND()))</f>
        <v/>
      </c>
    </row>
    <row r="2483">
      <c r="F2483">
        <f>F2482+1</f>
        <v/>
      </c>
      <c r="G2483" s="92">
        <f>EXP($C$12+$C$8*_xlfn.NORM.S.INV(RAND()))</f>
        <v/>
      </c>
    </row>
    <row r="2484">
      <c r="F2484">
        <f>F2483+1</f>
        <v/>
      </c>
      <c r="G2484" s="92">
        <f>EXP($C$12+$C$8*_xlfn.NORM.S.INV(RAND()))</f>
        <v/>
      </c>
    </row>
    <row r="2485">
      <c r="F2485">
        <f>F2484+1</f>
        <v/>
      </c>
      <c r="G2485" s="92">
        <f>EXP($C$12+$C$8*_xlfn.NORM.S.INV(RAND()))</f>
        <v/>
      </c>
    </row>
    <row r="2486">
      <c r="F2486">
        <f>F2485+1</f>
        <v/>
      </c>
      <c r="G2486" s="92">
        <f>EXP($C$12+$C$8*_xlfn.NORM.S.INV(RAND()))</f>
        <v/>
      </c>
    </row>
    <row r="2487">
      <c r="F2487">
        <f>F2486+1</f>
        <v/>
      </c>
      <c r="G2487" s="92">
        <f>EXP($C$12+$C$8*_xlfn.NORM.S.INV(RAND()))</f>
        <v/>
      </c>
    </row>
    <row r="2488">
      <c r="F2488">
        <f>F2487+1</f>
        <v/>
      </c>
      <c r="G2488" s="92">
        <f>EXP($C$12+$C$8*_xlfn.NORM.S.INV(RAND()))</f>
        <v/>
      </c>
    </row>
    <row r="2489">
      <c r="F2489">
        <f>F2488+1</f>
        <v/>
      </c>
      <c r="G2489" s="92">
        <f>EXP($C$12+$C$8*_xlfn.NORM.S.INV(RAND()))</f>
        <v/>
      </c>
    </row>
    <row r="2490">
      <c r="F2490">
        <f>F2489+1</f>
        <v/>
      </c>
      <c r="G2490" s="92">
        <f>EXP($C$12+$C$8*_xlfn.NORM.S.INV(RAND()))</f>
        <v/>
      </c>
    </row>
    <row r="2491">
      <c r="F2491">
        <f>F2490+1</f>
        <v/>
      </c>
      <c r="G2491" s="92">
        <f>EXP($C$12+$C$8*_xlfn.NORM.S.INV(RAND()))</f>
        <v/>
      </c>
    </row>
    <row r="2492">
      <c r="F2492">
        <f>F2491+1</f>
        <v/>
      </c>
      <c r="G2492" s="92">
        <f>EXP($C$12+$C$8*_xlfn.NORM.S.INV(RAND()))</f>
        <v/>
      </c>
    </row>
    <row r="2493">
      <c r="F2493">
        <f>F2492+1</f>
        <v/>
      </c>
      <c r="G2493" s="92">
        <f>EXP($C$12+$C$8*_xlfn.NORM.S.INV(RAND()))</f>
        <v/>
      </c>
    </row>
    <row r="2494">
      <c r="F2494">
        <f>F2493+1</f>
        <v/>
      </c>
      <c r="G2494" s="92">
        <f>EXP($C$12+$C$8*_xlfn.NORM.S.INV(RAND()))</f>
        <v/>
      </c>
    </row>
    <row r="2495">
      <c r="F2495">
        <f>F2494+1</f>
        <v/>
      </c>
      <c r="G2495" s="92">
        <f>EXP($C$12+$C$8*_xlfn.NORM.S.INV(RAND()))</f>
        <v/>
      </c>
    </row>
    <row r="2496">
      <c r="F2496">
        <f>F2495+1</f>
        <v/>
      </c>
      <c r="G2496" s="92">
        <f>EXP($C$12+$C$8*_xlfn.NORM.S.INV(RAND()))</f>
        <v/>
      </c>
    </row>
    <row r="2497">
      <c r="F2497">
        <f>F2496+1</f>
        <v/>
      </c>
      <c r="G2497" s="92">
        <f>EXP($C$12+$C$8*_xlfn.NORM.S.INV(RAND()))</f>
        <v/>
      </c>
    </row>
    <row r="2498">
      <c r="F2498">
        <f>F2497+1</f>
        <v/>
      </c>
      <c r="G2498" s="92">
        <f>EXP($C$12+$C$8*_xlfn.NORM.S.INV(RAND()))</f>
        <v/>
      </c>
    </row>
    <row r="2499">
      <c r="F2499">
        <f>F2498+1</f>
        <v/>
      </c>
      <c r="G2499" s="92">
        <f>EXP($C$12+$C$8*_xlfn.NORM.S.INV(RAND()))</f>
        <v/>
      </c>
    </row>
    <row r="2500">
      <c r="F2500">
        <f>F2499+1</f>
        <v/>
      </c>
      <c r="G2500" s="92">
        <f>EXP($C$12+$C$8*_xlfn.NORM.S.INV(RAND()))</f>
        <v/>
      </c>
    </row>
    <row r="2501">
      <c r="F2501">
        <f>F2500+1</f>
        <v/>
      </c>
      <c r="G2501" s="92">
        <f>EXP($C$12+$C$8*_xlfn.NORM.S.INV(RAND()))</f>
        <v/>
      </c>
    </row>
    <row r="2502">
      <c r="F2502">
        <f>F2501+1</f>
        <v/>
      </c>
      <c r="G2502" s="92">
        <f>EXP($C$12+$C$8*_xlfn.NORM.S.INV(RAND()))</f>
        <v/>
      </c>
    </row>
    <row r="2503">
      <c r="F2503">
        <f>F2502+1</f>
        <v/>
      </c>
      <c r="G2503" s="92">
        <f>EXP($C$12+$C$8*_xlfn.NORM.S.INV(RAND()))</f>
        <v/>
      </c>
    </row>
    <row r="2504">
      <c r="F2504">
        <f>F2503+1</f>
        <v/>
      </c>
      <c r="G2504" s="92">
        <f>EXP($C$12+$C$8*_xlfn.NORM.S.INV(RAND()))</f>
        <v/>
      </c>
    </row>
    <row r="2505">
      <c r="F2505">
        <f>F2504+1</f>
        <v/>
      </c>
      <c r="G2505" s="92">
        <f>EXP($C$12+$C$8*_xlfn.NORM.S.INV(RAND()))</f>
        <v/>
      </c>
    </row>
    <row r="2506">
      <c r="F2506">
        <f>F2505+1</f>
        <v/>
      </c>
      <c r="G2506" s="92">
        <f>EXP($C$12+$C$8*_xlfn.NORM.S.INV(RAND()))</f>
        <v/>
      </c>
    </row>
    <row r="2507">
      <c r="F2507">
        <f>F2506+1</f>
        <v/>
      </c>
      <c r="G2507" s="92">
        <f>EXP($C$12+$C$8*_xlfn.NORM.S.INV(RAND()))</f>
        <v/>
      </c>
    </row>
    <row r="2508">
      <c r="F2508">
        <f>F2507+1</f>
        <v/>
      </c>
      <c r="G2508" s="92">
        <f>EXP($C$12+$C$8*_xlfn.NORM.S.INV(RAND()))</f>
        <v/>
      </c>
    </row>
    <row r="2509">
      <c r="F2509">
        <f>F2508+1</f>
        <v/>
      </c>
      <c r="G2509" s="92">
        <f>EXP($C$12+$C$8*_xlfn.NORM.S.INV(RAND()))</f>
        <v/>
      </c>
    </row>
    <row r="2510">
      <c r="F2510">
        <f>F2509+1</f>
        <v/>
      </c>
      <c r="G2510" s="92">
        <f>EXP($C$12+$C$8*_xlfn.NORM.S.INV(RAND()))</f>
        <v/>
      </c>
    </row>
    <row r="2511">
      <c r="F2511">
        <f>F2510+1</f>
        <v/>
      </c>
      <c r="G2511" s="92">
        <f>EXP($C$12+$C$8*_xlfn.NORM.S.INV(RAND()))</f>
        <v/>
      </c>
    </row>
    <row r="2512">
      <c r="F2512">
        <f>F2511+1</f>
        <v/>
      </c>
      <c r="G2512" s="92">
        <f>EXP($C$12+$C$8*_xlfn.NORM.S.INV(RAND()))</f>
        <v/>
      </c>
    </row>
    <row r="2513">
      <c r="F2513">
        <f>F2512+1</f>
        <v/>
      </c>
      <c r="G2513" s="92">
        <f>EXP($C$12+$C$8*_xlfn.NORM.S.INV(RAND()))</f>
        <v/>
      </c>
    </row>
    <row r="2514">
      <c r="F2514">
        <f>F2513+1</f>
        <v/>
      </c>
      <c r="G2514" s="92">
        <f>EXP($C$12+$C$8*_xlfn.NORM.S.INV(RAND()))</f>
        <v/>
      </c>
    </row>
    <row r="2515">
      <c r="F2515">
        <f>F2514+1</f>
        <v/>
      </c>
      <c r="G2515" s="92">
        <f>EXP($C$12+$C$8*_xlfn.NORM.S.INV(RAND()))</f>
        <v/>
      </c>
    </row>
    <row r="2516">
      <c r="F2516">
        <f>F2515+1</f>
        <v/>
      </c>
      <c r="G2516" s="92">
        <f>EXP($C$12+$C$8*_xlfn.NORM.S.INV(RAND()))</f>
        <v/>
      </c>
    </row>
    <row r="2517">
      <c r="F2517">
        <f>F2516+1</f>
        <v/>
      </c>
      <c r="G2517" s="92">
        <f>EXP($C$12+$C$8*_xlfn.NORM.S.INV(RAND()))</f>
        <v/>
      </c>
    </row>
    <row r="2518">
      <c r="F2518">
        <f>F2517+1</f>
        <v/>
      </c>
      <c r="G2518" s="92">
        <f>EXP($C$12+$C$8*_xlfn.NORM.S.INV(RAND()))</f>
        <v/>
      </c>
    </row>
    <row r="2519">
      <c r="F2519">
        <f>F2518+1</f>
        <v/>
      </c>
      <c r="G2519" s="92">
        <f>EXP($C$12+$C$8*_xlfn.NORM.S.INV(RAND()))</f>
        <v/>
      </c>
    </row>
    <row r="2520">
      <c r="F2520">
        <f>F2519+1</f>
        <v/>
      </c>
      <c r="G2520" s="92">
        <f>EXP($C$12+$C$8*_xlfn.NORM.S.INV(RAND()))</f>
        <v/>
      </c>
    </row>
    <row r="2521">
      <c r="F2521">
        <f>F2520+1</f>
        <v/>
      </c>
      <c r="G2521" s="92">
        <f>EXP($C$12+$C$8*_xlfn.NORM.S.INV(RAND()))</f>
        <v/>
      </c>
    </row>
    <row r="2522">
      <c r="F2522">
        <f>F2521+1</f>
        <v/>
      </c>
      <c r="G2522" s="92">
        <f>EXP($C$12+$C$8*_xlfn.NORM.S.INV(RAND()))</f>
        <v/>
      </c>
    </row>
    <row r="2523">
      <c r="F2523">
        <f>F2522+1</f>
        <v/>
      </c>
      <c r="G2523" s="92">
        <f>EXP($C$12+$C$8*_xlfn.NORM.S.INV(RAND()))</f>
        <v/>
      </c>
    </row>
    <row r="2524">
      <c r="F2524">
        <f>F2523+1</f>
        <v/>
      </c>
      <c r="G2524" s="92">
        <f>EXP($C$12+$C$8*_xlfn.NORM.S.INV(RAND()))</f>
        <v/>
      </c>
    </row>
    <row r="2525">
      <c r="F2525">
        <f>F2524+1</f>
        <v/>
      </c>
      <c r="G2525" s="92">
        <f>EXP($C$12+$C$8*_xlfn.NORM.S.INV(RAND()))</f>
        <v/>
      </c>
    </row>
    <row r="2526">
      <c r="F2526">
        <f>F2525+1</f>
        <v/>
      </c>
      <c r="G2526" s="92">
        <f>EXP($C$12+$C$8*_xlfn.NORM.S.INV(RAND()))</f>
        <v/>
      </c>
    </row>
    <row r="2527">
      <c r="F2527">
        <f>F2526+1</f>
        <v/>
      </c>
      <c r="G2527" s="92">
        <f>EXP($C$12+$C$8*_xlfn.NORM.S.INV(RAND()))</f>
        <v/>
      </c>
    </row>
    <row r="2528">
      <c r="F2528">
        <f>F2527+1</f>
        <v/>
      </c>
      <c r="G2528" s="92">
        <f>EXP($C$12+$C$8*_xlfn.NORM.S.INV(RAND()))</f>
        <v/>
      </c>
    </row>
    <row r="2529">
      <c r="F2529">
        <f>F2528+1</f>
        <v/>
      </c>
      <c r="G2529" s="92">
        <f>EXP($C$12+$C$8*_xlfn.NORM.S.INV(RAND()))</f>
        <v/>
      </c>
    </row>
    <row r="2530">
      <c r="F2530">
        <f>F2529+1</f>
        <v/>
      </c>
      <c r="G2530" s="92">
        <f>EXP($C$12+$C$8*_xlfn.NORM.S.INV(RAND()))</f>
        <v/>
      </c>
    </row>
    <row r="2531">
      <c r="F2531">
        <f>F2530+1</f>
        <v/>
      </c>
      <c r="G2531" s="92">
        <f>EXP($C$12+$C$8*_xlfn.NORM.S.INV(RAND()))</f>
        <v/>
      </c>
    </row>
    <row r="2532">
      <c r="F2532">
        <f>F2531+1</f>
        <v/>
      </c>
      <c r="G2532" s="92">
        <f>EXP($C$12+$C$8*_xlfn.NORM.S.INV(RAND()))</f>
        <v/>
      </c>
    </row>
    <row r="2533">
      <c r="F2533">
        <f>F2532+1</f>
        <v/>
      </c>
      <c r="G2533" s="92">
        <f>EXP($C$12+$C$8*_xlfn.NORM.S.INV(RAND()))</f>
        <v/>
      </c>
    </row>
    <row r="2534">
      <c r="F2534">
        <f>F2533+1</f>
        <v/>
      </c>
      <c r="G2534" s="92">
        <f>EXP($C$12+$C$8*_xlfn.NORM.S.INV(RAND()))</f>
        <v/>
      </c>
    </row>
    <row r="2535">
      <c r="F2535">
        <f>F2534+1</f>
        <v/>
      </c>
      <c r="G2535" s="92">
        <f>EXP($C$12+$C$8*_xlfn.NORM.S.INV(RAND()))</f>
        <v/>
      </c>
    </row>
    <row r="2536">
      <c r="F2536">
        <f>F2535+1</f>
        <v/>
      </c>
      <c r="G2536" s="92">
        <f>EXP($C$12+$C$8*_xlfn.NORM.S.INV(RAND()))</f>
        <v/>
      </c>
    </row>
    <row r="2537">
      <c r="F2537">
        <f>F2536+1</f>
        <v/>
      </c>
      <c r="G2537" s="92">
        <f>EXP($C$12+$C$8*_xlfn.NORM.S.INV(RAND()))</f>
        <v/>
      </c>
    </row>
    <row r="2538">
      <c r="F2538">
        <f>F2537+1</f>
        <v/>
      </c>
      <c r="G2538" s="92">
        <f>EXP($C$12+$C$8*_xlfn.NORM.S.INV(RAND()))</f>
        <v/>
      </c>
    </row>
    <row r="2539">
      <c r="F2539">
        <f>F2538+1</f>
        <v/>
      </c>
      <c r="G2539" s="92">
        <f>EXP($C$12+$C$8*_xlfn.NORM.S.INV(RAND()))</f>
        <v/>
      </c>
    </row>
    <row r="2540">
      <c r="F2540">
        <f>F2539+1</f>
        <v/>
      </c>
      <c r="G2540" s="92">
        <f>EXP($C$12+$C$8*_xlfn.NORM.S.INV(RAND()))</f>
        <v/>
      </c>
    </row>
    <row r="2541">
      <c r="F2541">
        <f>F2540+1</f>
        <v/>
      </c>
      <c r="G2541" s="92">
        <f>EXP($C$12+$C$8*_xlfn.NORM.S.INV(RAND()))</f>
        <v/>
      </c>
    </row>
    <row r="2542">
      <c r="F2542">
        <f>F2541+1</f>
        <v/>
      </c>
      <c r="G2542" s="92">
        <f>EXP($C$12+$C$8*_xlfn.NORM.S.INV(RAND()))</f>
        <v/>
      </c>
    </row>
    <row r="2543">
      <c r="F2543">
        <f>F2542+1</f>
        <v/>
      </c>
      <c r="G2543" s="92">
        <f>EXP($C$12+$C$8*_xlfn.NORM.S.INV(RAND()))</f>
        <v/>
      </c>
    </row>
    <row r="2544">
      <c r="F2544">
        <f>F2543+1</f>
        <v/>
      </c>
      <c r="G2544" s="92">
        <f>EXP($C$12+$C$8*_xlfn.NORM.S.INV(RAND()))</f>
        <v/>
      </c>
    </row>
    <row r="2545">
      <c r="F2545">
        <f>F2544+1</f>
        <v/>
      </c>
      <c r="G2545" s="92">
        <f>EXP($C$12+$C$8*_xlfn.NORM.S.INV(RAND()))</f>
        <v/>
      </c>
    </row>
    <row r="2546">
      <c r="F2546">
        <f>F2545+1</f>
        <v/>
      </c>
      <c r="G2546" s="92">
        <f>EXP($C$12+$C$8*_xlfn.NORM.S.INV(RAND()))</f>
        <v/>
      </c>
    </row>
    <row r="2547">
      <c r="F2547">
        <f>F2546+1</f>
        <v/>
      </c>
      <c r="G2547" s="92">
        <f>EXP($C$12+$C$8*_xlfn.NORM.S.INV(RAND()))</f>
        <v/>
      </c>
    </row>
    <row r="2548">
      <c r="F2548">
        <f>F2547+1</f>
        <v/>
      </c>
      <c r="G2548" s="92">
        <f>EXP($C$12+$C$8*_xlfn.NORM.S.INV(RAND()))</f>
        <v/>
      </c>
    </row>
    <row r="2549">
      <c r="F2549">
        <f>F2548+1</f>
        <v/>
      </c>
      <c r="G2549" s="92">
        <f>EXP($C$12+$C$8*_xlfn.NORM.S.INV(RAND()))</f>
        <v/>
      </c>
    </row>
    <row r="2550">
      <c r="F2550">
        <f>F2549+1</f>
        <v/>
      </c>
      <c r="G2550" s="92">
        <f>EXP($C$12+$C$8*_xlfn.NORM.S.INV(RAND()))</f>
        <v/>
      </c>
    </row>
    <row r="2551">
      <c r="F2551">
        <f>F2550+1</f>
        <v/>
      </c>
      <c r="G2551" s="92">
        <f>EXP($C$12+$C$8*_xlfn.NORM.S.INV(RAND()))</f>
        <v/>
      </c>
    </row>
    <row r="2552">
      <c r="F2552">
        <f>F2551+1</f>
        <v/>
      </c>
      <c r="G2552" s="92">
        <f>EXP($C$12+$C$8*_xlfn.NORM.S.INV(RAND()))</f>
        <v/>
      </c>
    </row>
    <row r="2553">
      <c r="F2553">
        <f>F2552+1</f>
        <v/>
      </c>
      <c r="G2553" s="92">
        <f>EXP($C$12+$C$8*_xlfn.NORM.S.INV(RAND()))</f>
        <v/>
      </c>
    </row>
    <row r="2554">
      <c r="F2554">
        <f>F2553+1</f>
        <v/>
      </c>
      <c r="G2554" s="92">
        <f>EXP($C$12+$C$8*_xlfn.NORM.S.INV(RAND()))</f>
        <v/>
      </c>
    </row>
    <row r="2555">
      <c r="F2555">
        <f>F2554+1</f>
        <v/>
      </c>
      <c r="G2555" s="92">
        <f>EXP($C$12+$C$8*_xlfn.NORM.S.INV(RAND()))</f>
        <v/>
      </c>
    </row>
    <row r="2556">
      <c r="F2556">
        <f>F2555+1</f>
        <v/>
      </c>
      <c r="G2556" s="92">
        <f>EXP($C$12+$C$8*_xlfn.NORM.S.INV(RAND()))</f>
        <v/>
      </c>
    </row>
    <row r="2557">
      <c r="F2557">
        <f>F2556+1</f>
        <v/>
      </c>
      <c r="G2557" s="92">
        <f>EXP($C$12+$C$8*_xlfn.NORM.S.INV(RAND()))</f>
        <v/>
      </c>
    </row>
    <row r="2558">
      <c r="F2558">
        <f>F2557+1</f>
        <v/>
      </c>
      <c r="G2558" s="92">
        <f>EXP($C$12+$C$8*_xlfn.NORM.S.INV(RAND()))</f>
        <v/>
      </c>
    </row>
    <row r="2559">
      <c r="F2559">
        <f>F2558+1</f>
        <v/>
      </c>
      <c r="G2559" s="92">
        <f>EXP($C$12+$C$8*_xlfn.NORM.S.INV(RAND()))</f>
        <v/>
      </c>
    </row>
    <row r="2560">
      <c r="F2560">
        <f>F2559+1</f>
        <v/>
      </c>
      <c r="G2560" s="92">
        <f>EXP($C$12+$C$8*_xlfn.NORM.S.INV(RAND()))</f>
        <v/>
      </c>
    </row>
    <row r="2561">
      <c r="F2561">
        <f>F2560+1</f>
        <v/>
      </c>
      <c r="G2561" s="92">
        <f>EXP($C$12+$C$8*_xlfn.NORM.S.INV(RAND()))</f>
        <v/>
      </c>
    </row>
    <row r="2562">
      <c r="F2562">
        <f>F2561+1</f>
        <v/>
      </c>
      <c r="G2562" s="92">
        <f>EXP($C$12+$C$8*_xlfn.NORM.S.INV(RAND()))</f>
        <v/>
      </c>
    </row>
    <row r="2563">
      <c r="F2563">
        <f>F2562+1</f>
        <v/>
      </c>
      <c r="G2563" s="92">
        <f>EXP($C$12+$C$8*_xlfn.NORM.S.INV(RAND()))</f>
        <v/>
      </c>
    </row>
    <row r="2564">
      <c r="F2564">
        <f>F2563+1</f>
        <v/>
      </c>
      <c r="G2564" s="92">
        <f>EXP($C$12+$C$8*_xlfn.NORM.S.INV(RAND()))</f>
        <v/>
      </c>
    </row>
    <row r="2565">
      <c r="F2565">
        <f>F2564+1</f>
        <v/>
      </c>
      <c r="G2565" s="92">
        <f>EXP($C$12+$C$8*_xlfn.NORM.S.INV(RAND()))</f>
        <v/>
      </c>
    </row>
    <row r="2566">
      <c r="F2566">
        <f>F2565+1</f>
        <v/>
      </c>
      <c r="G2566" s="92">
        <f>EXP($C$12+$C$8*_xlfn.NORM.S.INV(RAND()))</f>
        <v/>
      </c>
    </row>
    <row r="2567">
      <c r="F2567">
        <f>F2566+1</f>
        <v/>
      </c>
      <c r="G2567" s="92">
        <f>EXP($C$12+$C$8*_xlfn.NORM.S.INV(RAND()))</f>
        <v/>
      </c>
    </row>
    <row r="2568">
      <c r="F2568">
        <f>F2567+1</f>
        <v/>
      </c>
      <c r="G2568" s="92">
        <f>EXP($C$12+$C$8*_xlfn.NORM.S.INV(RAND()))</f>
        <v/>
      </c>
    </row>
    <row r="2569">
      <c r="F2569">
        <f>F2568+1</f>
        <v/>
      </c>
      <c r="G2569" s="92">
        <f>EXP($C$12+$C$8*_xlfn.NORM.S.INV(RAND()))</f>
        <v/>
      </c>
    </row>
    <row r="2570">
      <c r="F2570">
        <f>F2569+1</f>
        <v/>
      </c>
      <c r="G2570" s="92">
        <f>EXP($C$12+$C$8*_xlfn.NORM.S.INV(RAND()))</f>
        <v/>
      </c>
    </row>
    <row r="2571">
      <c r="F2571">
        <f>F2570+1</f>
        <v/>
      </c>
      <c r="G2571" s="92">
        <f>EXP($C$12+$C$8*_xlfn.NORM.S.INV(RAND()))</f>
        <v/>
      </c>
    </row>
    <row r="2572">
      <c r="F2572">
        <f>F2571+1</f>
        <v/>
      </c>
      <c r="G2572" s="92">
        <f>EXP($C$12+$C$8*_xlfn.NORM.S.INV(RAND()))</f>
        <v/>
      </c>
    </row>
    <row r="2573">
      <c r="F2573">
        <f>F2572+1</f>
        <v/>
      </c>
      <c r="G2573" s="92">
        <f>EXP($C$12+$C$8*_xlfn.NORM.S.INV(RAND()))</f>
        <v/>
      </c>
    </row>
    <row r="2574">
      <c r="F2574">
        <f>F2573+1</f>
        <v/>
      </c>
      <c r="G2574" s="92">
        <f>EXP($C$12+$C$8*_xlfn.NORM.S.INV(RAND()))</f>
        <v/>
      </c>
    </row>
    <row r="2575">
      <c r="F2575">
        <f>F2574+1</f>
        <v/>
      </c>
      <c r="G2575" s="92">
        <f>EXP($C$12+$C$8*_xlfn.NORM.S.INV(RAND()))</f>
        <v/>
      </c>
    </row>
    <row r="2576">
      <c r="F2576">
        <f>F2575+1</f>
        <v/>
      </c>
      <c r="G2576" s="92">
        <f>EXP($C$12+$C$8*_xlfn.NORM.S.INV(RAND()))</f>
        <v/>
      </c>
    </row>
    <row r="2577">
      <c r="F2577">
        <f>F2576+1</f>
        <v/>
      </c>
      <c r="G2577" s="92">
        <f>EXP($C$12+$C$8*_xlfn.NORM.S.INV(RAND()))</f>
        <v/>
      </c>
    </row>
    <row r="2578">
      <c r="F2578">
        <f>F2577+1</f>
        <v/>
      </c>
      <c r="G2578" s="92">
        <f>EXP($C$12+$C$8*_xlfn.NORM.S.INV(RAND()))</f>
        <v/>
      </c>
    </row>
    <row r="2579">
      <c r="F2579">
        <f>F2578+1</f>
        <v/>
      </c>
      <c r="G2579" s="92">
        <f>EXP($C$12+$C$8*_xlfn.NORM.S.INV(RAND()))</f>
        <v/>
      </c>
    </row>
    <row r="2580">
      <c r="F2580">
        <f>F2579+1</f>
        <v/>
      </c>
      <c r="G2580" s="92">
        <f>EXP($C$12+$C$8*_xlfn.NORM.S.INV(RAND()))</f>
        <v/>
      </c>
    </row>
    <row r="2581">
      <c r="F2581">
        <f>F2580+1</f>
        <v/>
      </c>
      <c r="G2581" s="92">
        <f>EXP($C$12+$C$8*_xlfn.NORM.S.INV(RAND()))</f>
        <v/>
      </c>
    </row>
    <row r="2582">
      <c r="F2582">
        <f>F2581+1</f>
        <v/>
      </c>
      <c r="G2582" s="92">
        <f>EXP($C$12+$C$8*_xlfn.NORM.S.INV(RAND()))</f>
        <v/>
      </c>
    </row>
    <row r="2583">
      <c r="F2583">
        <f>F2582+1</f>
        <v/>
      </c>
      <c r="G2583" s="92">
        <f>EXP($C$12+$C$8*_xlfn.NORM.S.INV(RAND()))</f>
        <v/>
      </c>
    </row>
    <row r="2584">
      <c r="F2584">
        <f>F2583+1</f>
        <v/>
      </c>
      <c r="G2584" s="92">
        <f>EXP($C$12+$C$8*_xlfn.NORM.S.INV(RAND()))</f>
        <v/>
      </c>
    </row>
    <row r="2585">
      <c r="F2585">
        <f>F2584+1</f>
        <v/>
      </c>
      <c r="G2585" s="92">
        <f>EXP($C$12+$C$8*_xlfn.NORM.S.INV(RAND()))</f>
        <v/>
      </c>
    </row>
    <row r="2586">
      <c r="F2586">
        <f>F2585+1</f>
        <v/>
      </c>
      <c r="G2586" s="92">
        <f>EXP($C$12+$C$8*_xlfn.NORM.S.INV(RAND()))</f>
        <v/>
      </c>
    </row>
    <row r="2587">
      <c r="F2587">
        <f>F2586+1</f>
        <v/>
      </c>
      <c r="G2587" s="92">
        <f>EXP($C$12+$C$8*_xlfn.NORM.S.INV(RAND()))</f>
        <v/>
      </c>
    </row>
    <row r="2588">
      <c r="F2588">
        <f>F2587+1</f>
        <v/>
      </c>
      <c r="G2588" s="92">
        <f>EXP($C$12+$C$8*_xlfn.NORM.S.INV(RAND()))</f>
        <v/>
      </c>
    </row>
    <row r="2589">
      <c r="F2589">
        <f>F2588+1</f>
        <v/>
      </c>
      <c r="G2589" s="92">
        <f>EXP($C$12+$C$8*_xlfn.NORM.S.INV(RAND()))</f>
        <v/>
      </c>
    </row>
    <row r="2590">
      <c r="F2590">
        <f>F2589+1</f>
        <v/>
      </c>
      <c r="G2590" s="92">
        <f>EXP($C$12+$C$8*_xlfn.NORM.S.INV(RAND()))</f>
        <v/>
      </c>
    </row>
    <row r="2591">
      <c r="F2591">
        <f>F2590+1</f>
        <v/>
      </c>
      <c r="G2591" s="92">
        <f>EXP($C$12+$C$8*_xlfn.NORM.S.INV(RAND()))</f>
        <v/>
      </c>
    </row>
    <row r="2592">
      <c r="F2592">
        <f>F2591+1</f>
        <v/>
      </c>
      <c r="G2592" s="92">
        <f>EXP($C$12+$C$8*_xlfn.NORM.S.INV(RAND()))</f>
        <v/>
      </c>
    </row>
    <row r="2593">
      <c r="F2593">
        <f>F2592+1</f>
        <v/>
      </c>
      <c r="G2593" s="92">
        <f>EXP($C$12+$C$8*_xlfn.NORM.S.INV(RAND()))</f>
        <v/>
      </c>
    </row>
    <row r="2594">
      <c r="F2594">
        <f>F2593+1</f>
        <v/>
      </c>
      <c r="G2594" s="92">
        <f>EXP($C$12+$C$8*_xlfn.NORM.S.INV(RAND()))</f>
        <v/>
      </c>
    </row>
    <row r="2595">
      <c r="F2595">
        <f>F2594+1</f>
        <v/>
      </c>
      <c r="G2595" s="92">
        <f>EXP($C$12+$C$8*_xlfn.NORM.S.INV(RAND()))</f>
        <v/>
      </c>
    </row>
    <row r="2596">
      <c r="F2596">
        <f>F2595+1</f>
        <v/>
      </c>
      <c r="G2596" s="92">
        <f>EXP($C$12+$C$8*_xlfn.NORM.S.INV(RAND()))</f>
        <v/>
      </c>
    </row>
    <row r="2597">
      <c r="F2597">
        <f>F2596+1</f>
        <v/>
      </c>
      <c r="G2597" s="92">
        <f>EXP($C$12+$C$8*_xlfn.NORM.S.INV(RAND()))</f>
        <v/>
      </c>
    </row>
    <row r="2598">
      <c r="F2598">
        <f>F2597+1</f>
        <v/>
      </c>
      <c r="G2598" s="92">
        <f>EXP($C$12+$C$8*_xlfn.NORM.S.INV(RAND()))</f>
        <v/>
      </c>
    </row>
    <row r="2599">
      <c r="F2599">
        <f>F2598+1</f>
        <v/>
      </c>
      <c r="G2599" s="92">
        <f>EXP($C$12+$C$8*_xlfn.NORM.S.INV(RAND()))</f>
        <v/>
      </c>
    </row>
    <row r="2600">
      <c r="F2600">
        <f>F2599+1</f>
        <v/>
      </c>
      <c r="G2600" s="92">
        <f>EXP($C$12+$C$8*_xlfn.NORM.S.INV(RAND()))</f>
        <v/>
      </c>
    </row>
    <row r="2601">
      <c r="F2601">
        <f>F2600+1</f>
        <v/>
      </c>
      <c r="G2601" s="92">
        <f>EXP($C$12+$C$8*_xlfn.NORM.S.INV(RAND()))</f>
        <v/>
      </c>
    </row>
    <row r="2602">
      <c r="F2602">
        <f>F2601+1</f>
        <v/>
      </c>
      <c r="G2602" s="92">
        <f>EXP($C$12+$C$8*_xlfn.NORM.S.INV(RAND()))</f>
        <v/>
      </c>
    </row>
    <row r="2603">
      <c r="F2603">
        <f>F2602+1</f>
        <v/>
      </c>
      <c r="G2603" s="92">
        <f>EXP($C$12+$C$8*_xlfn.NORM.S.INV(RAND()))</f>
        <v/>
      </c>
    </row>
    <row r="2604">
      <c r="F2604">
        <f>F2603+1</f>
        <v/>
      </c>
      <c r="G2604" s="92">
        <f>EXP($C$12+$C$8*_xlfn.NORM.S.INV(RAND()))</f>
        <v/>
      </c>
    </row>
    <row r="2605">
      <c r="F2605">
        <f>F2604+1</f>
        <v/>
      </c>
      <c r="G2605" s="92">
        <f>EXP($C$12+$C$8*_xlfn.NORM.S.INV(RAND()))</f>
        <v/>
      </c>
    </row>
    <row r="2606">
      <c r="F2606">
        <f>F2605+1</f>
        <v/>
      </c>
      <c r="G2606" s="92">
        <f>EXP($C$12+$C$8*_xlfn.NORM.S.INV(RAND()))</f>
        <v/>
      </c>
    </row>
    <row r="2607">
      <c r="F2607">
        <f>F2606+1</f>
        <v/>
      </c>
      <c r="G2607" s="92">
        <f>EXP($C$12+$C$8*_xlfn.NORM.S.INV(RAND()))</f>
        <v/>
      </c>
    </row>
    <row r="2608">
      <c r="F2608">
        <f>F2607+1</f>
        <v/>
      </c>
      <c r="G2608" s="92">
        <f>EXP($C$12+$C$8*_xlfn.NORM.S.INV(RAND()))</f>
        <v/>
      </c>
    </row>
    <row r="2609">
      <c r="F2609">
        <f>F2608+1</f>
        <v/>
      </c>
      <c r="G2609" s="92">
        <f>EXP($C$12+$C$8*_xlfn.NORM.S.INV(RAND()))</f>
        <v/>
      </c>
    </row>
    <row r="2610">
      <c r="F2610">
        <f>F2609+1</f>
        <v/>
      </c>
      <c r="G2610" s="92">
        <f>EXP($C$12+$C$8*_xlfn.NORM.S.INV(RAND()))</f>
        <v/>
      </c>
    </row>
    <row r="2611">
      <c r="F2611">
        <f>F2610+1</f>
        <v/>
      </c>
      <c r="G2611" s="92">
        <f>EXP($C$12+$C$8*_xlfn.NORM.S.INV(RAND()))</f>
        <v/>
      </c>
    </row>
    <row r="2612">
      <c r="F2612">
        <f>F2611+1</f>
        <v/>
      </c>
      <c r="G2612" s="92">
        <f>EXP($C$12+$C$8*_xlfn.NORM.S.INV(RAND()))</f>
        <v/>
      </c>
    </row>
    <row r="2613">
      <c r="F2613">
        <f>F2612+1</f>
        <v/>
      </c>
      <c r="G2613" s="92">
        <f>EXP($C$12+$C$8*_xlfn.NORM.S.INV(RAND()))</f>
        <v/>
      </c>
    </row>
    <row r="2614">
      <c r="F2614">
        <f>F2613+1</f>
        <v/>
      </c>
      <c r="G2614" s="92">
        <f>EXP($C$12+$C$8*_xlfn.NORM.S.INV(RAND()))</f>
        <v/>
      </c>
    </row>
    <row r="2615">
      <c r="F2615">
        <f>F2614+1</f>
        <v/>
      </c>
      <c r="G2615" s="92">
        <f>EXP($C$12+$C$8*_xlfn.NORM.S.INV(RAND()))</f>
        <v/>
      </c>
    </row>
    <row r="2616">
      <c r="F2616">
        <f>F2615+1</f>
        <v/>
      </c>
      <c r="G2616" s="92">
        <f>EXP($C$12+$C$8*_xlfn.NORM.S.INV(RAND()))</f>
        <v/>
      </c>
    </row>
    <row r="2617">
      <c r="F2617">
        <f>F2616+1</f>
        <v/>
      </c>
      <c r="G2617" s="92">
        <f>EXP($C$12+$C$8*_xlfn.NORM.S.INV(RAND()))</f>
        <v/>
      </c>
    </row>
    <row r="2618">
      <c r="F2618">
        <f>F2617+1</f>
        <v/>
      </c>
      <c r="G2618" s="92">
        <f>EXP($C$12+$C$8*_xlfn.NORM.S.INV(RAND()))</f>
        <v/>
      </c>
    </row>
    <row r="2619">
      <c r="F2619">
        <f>F2618+1</f>
        <v/>
      </c>
      <c r="G2619" s="92">
        <f>EXP($C$12+$C$8*_xlfn.NORM.S.INV(RAND()))</f>
        <v/>
      </c>
    </row>
    <row r="2620">
      <c r="F2620">
        <f>F2619+1</f>
        <v/>
      </c>
      <c r="G2620" s="92">
        <f>EXP($C$12+$C$8*_xlfn.NORM.S.INV(RAND()))</f>
        <v/>
      </c>
    </row>
    <row r="2621">
      <c r="F2621">
        <f>F2620+1</f>
        <v/>
      </c>
      <c r="G2621" s="92">
        <f>EXP($C$12+$C$8*_xlfn.NORM.S.INV(RAND()))</f>
        <v/>
      </c>
    </row>
    <row r="2622">
      <c r="F2622">
        <f>F2621+1</f>
        <v/>
      </c>
      <c r="G2622" s="92">
        <f>EXP($C$12+$C$8*_xlfn.NORM.S.INV(RAND()))</f>
        <v/>
      </c>
    </row>
    <row r="2623">
      <c r="F2623">
        <f>F2622+1</f>
        <v/>
      </c>
      <c r="G2623" s="92">
        <f>EXP($C$12+$C$8*_xlfn.NORM.S.INV(RAND()))</f>
        <v/>
      </c>
    </row>
    <row r="2624">
      <c r="F2624">
        <f>F2623+1</f>
        <v/>
      </c>
      <c r="G2624" s="92">
        <f>EXP($C$12+$C$8*_xlfn.NORM.S.INV(RAND()))</f>
        <v/>
      </c>
    </row>
    <row r="2625">
      <c r="F2625">
        <f>F2624+1</f>
        <v/>
      </c>
      <c r="G2625" s="92">
        <f>EXP($C$12+$C$8*_xlfn.NORM.S.INV(RAND()))</f>
        <v/>
      </c>
    </row>
    <row r="2626">
      <c r="F2626">
        <f>F2625+1</f>
        <v/>
      </c>
      <c r="G2626" s="92">
        <f>EXP($C$12+$C$8*_xlfn.NORM.S.INV(RAND()))</f>
        <v/>
      </c>
    </row>
    <row r="2627">
      <c r="F2627">
        <f>F2626+1</f>
        <v/>
      </c>
      <c r="G2627" s="92">
        <f>EXP($C$12+$C$8*_xlfn.NORM.S.INV(RAND()))</f>
        <v/>
      </c>
    </row>
    <row r="2628">
      <c r="F2628">
        <f>F2627+1</f>
        <v/>
      </c>
      <c r="G2628" s="92">
        <f>EXP($C$12+$C$8*_xlfn.NORM.S.INV(RAND()))</f>
        <v/>
      </c>
    </row>
    <row r="2629">
      <c r="F2629">
        <f>F2628+1</f>
        <v/>
      </c>
      <c r="G2629" s="92">
        <f>EXP($C$12+$C$8*_xlfn.NORM.S.INV(RAND()))</f>
        <v/>
      </c>
    </row>
    <row r="2630">
      <c r="F2630">
        <f>F2629+1</f>
        <v/>
      </c>
      <c r="G2630" s="92">
        <f>EXP($C$12+$C$8*_xlfn.NORM.S.INV(RAND()))</f>
        <v/>
      </c>
    </row>
    <row r="2631">
      <c r="F2631">
        <f>F2630+1</f>
        <v/>
      </c>
      <c r="G2631" s="92">
        <f>EXP($C$12+$C$8*_xlfn.NORM.S.INV(RAND()))</f>
        <v/>
      </c>
    </row>
    <row r="2632">
      <c r="F2632">
        <f>F2631+1</f>
        <v/>
      </c>
      <c r="G2632" s="92">
        <f>EXP($C$12+$C$8*_xlfn.NORM.S.INV(RAND()))</f>
        <v/>
      </c>
    </row>
    <row r="2633">
      <c r="F2633">
        <f>F2632+1</f>
        <v/>
      </c>
      <c r="G2633" s="92">
        <f>EXP($C$12+$C$8*_xlfn.NORM.S.INV(RAND()))</f>
        <v/>
      </c>
    </row>
    <row r="2634">
      <c r="F2634">
        <f>F2633+1</f>
        <v/>
      </c>
      <c r="G2634" s="92">
        <f>EXP($C$12+$C$8*_xlfn.NORM.S.INV(RAND()))</f>
        <v/>
      </c>
    </row>
    <row r="2635">
      <c r="F2635">
        <f>F2634+1</f>
        <v/>
      </c>
      <c r="G2635" s="92">
        <f>EXP($C$12+$C$8*_xlfn.NORM.S.INV(RAND()))</f>
        <v/>
      </c>
    </row>
    <row r="2636">
      <c r="F2636">
        <f>F2635+1</f>
        <v/>
      </c>
      <c r="G2636" s="92">
        <f>EXP($C$12+$C$8*_xlfn.NORM.S.INV(RAND()))</f>
        <v/>
      </c>
    </row>
    <row r="2637">
      <c r="F2637">
        <f>F2636+1</f>
        <v/>
      </c>
      <c r="G2637" s="92">
        <f>EXP($C$12+$C$8*_xlfn.NORM.S.INV(RAND()))</f>
        <v/>
      </c>
    </row>
    <row r="2638">
      <c r="F2638">
        <f>F2637+1</f>
        <v/>
      </c>
      <c r="G2638" s="92">
        <f>EXP($C$12+$C$8*_xlfn.NORM.S.INV(RAND()))</f>
        <v/>
      </c>
    </row>
    <row r="2639">
      <c r="F2639">
        <f>F2638+1</f>
        <v/>
      </c>
      <c r="G2639" s="92">
        <f>EXP($C$12+$C$8*_xlfn.NORM.S.INV(RAND()))</f>
        <v/>
      </c>
    </row>
    <row r="2640">
      <c r="F2640">
        <f>F2639+1</f>
        <v/>
      </c>
      <c r="G2640" s="92">
        <f>EXP($C$12+$C$8*_xlfn.NORM.S.INV(RAND()))</f>
        <v/>
      </c>
    </row>
    <row r="2641">
      <c r="F2641">
        <f>F2640+1</f>
        <v/>
      </c>
      <c r="G2641" s="92">
        <f>EXP($C$12+$C$8*_xlfn.NORM.S.INV(RAND()))</f>
        <v/>
      </c>
    </row>
    <row r="2642">
      <c r="F2642">
        <f>F2641+1</f>
        <v/>
      </c>
      <c r="G2642" s="92">
        <f>EXP($C$12+$C$8*_xlfn.NORM.S.INV(RAND()))</f>
        <v/>
      </c>
    </row>
    <row r="2643">
      <c r="F2643">
        <f>F2642+1</f>
        <v/>
      </c>
      <c r="G2643" s="92">
        <f>EXP($C$12+$C$8*_xlfn.NORM.S.INV(RAND()))</f>
        <v/>
      </c>
    </row>
    <row r="2644">
      <c r="F2644">
        <f>F2643+1</f>
        <v/>
      </c>
      <c r="G2644" s="92">
        <f>EXP($C$12+$C$8*_xlfn.NORM.S.INV(RAND()))</f>
        <v/>
      </c>
    </row>
    <row r="2645">
      <c r="F2645">
        <f>F2644+1</f>
        <v/>
      </c>
      <c r="G2645" s="92">
        <f>EXP($C$12+$C$8*_xlfn.NORM.S.INV(RAND()))</f>
        <v/>
      </c>
    </row>
    <row r="2646">
      <c r="F2646">
        <f>F2645+1</f>
        <v/>
      </c>
      <c r="G2646" s="92">
        <f>EXP($C$12+$C$8*_xlfn.NORM.S.INV(RAND()))</f>
        <v/>
      </c>
    </row>
    <row r="2647">
      <c r="F2647">
        <f>F2646+1</f>
        <v/>
      </c>
      <c r="G2647" s="92">
        <f>EXP($C$12+$C$8*_xlfn.NORM.S.INV(RAND()))</f>
        <v/>
      </c>
    </row>
    <row r="2648">
      <c r="F2648">
        <f>F2647+1</f>
        <v/>
      </c>
      <c r="G2648" s="92">
        <f>EXP($C$12+$C$8*_xlfn.NORM.S.INV(RAND()))</f>
        <v/>
      </c>
    </row>
    <row r="2649">
      <c r="F2649">
        <f>F2648+1</f>
        <v/>
      </c>
      <c r="G2649" s="92">
        <f>EXP($C$12+$C$8*_xlfn.NORM.S.INV(RAND()))</f>
        <v/>
      </c>
    </row>
    <row r="2650">
      <c r="F2650">
        <f>F2649+1</f>
        <v/>
      </c>
      <c r="G2650" s="92">
        <f>EXP($C$12+$C$8*_xlfn.NORM.S.INV(RAND()))</f>
        <v/>
      </c>
    </row>
    <row r="2651">
      <c r="F2651">
        <f>F2650+1</f>
        <v/>
      </c>
      <c r="G2651" s="92">
        <f>EXP($C$12+$C$8*_xlfn.NORM.S.INV(RAND()))</f>
        <v/>
      </c>
    </row>
    <row r="2652">
      <c r="F2652">
        <f>F2651+1</f>
        <v/>
      </c>
      <c r="G2652" s="92">
        <f>EXP($C$12+$C$8*_xlfn.NORM.S.INV(RAND()))</f>
        <v/>
      </c>
    </row>
    <row r="2653">
      <c r="F2653">
        <f>F2652+1</f>
        <v/>
      </c>
      <c r="G2653" s="92">
        <f>EXP($C$12+$C$8*_xlfn.NORM.S.INV(RAND()))</f>
        <v/>
      </c>
    </row>
    <row r="2654">
      <c r="F2654">
        <f>F2653+1</f>
        <v/>
      </c>
      <c r="G2654" s="92">
        <f>EXP($C$12+$C$8*_xlfn.NORM.S.INV(RAND()))</f>
        <v/>
      </c>
    </row>
    <row r="2655">
      <c r="F2655">
        <f>F2654+1</f>
        <v/>
      </c>
      <c r="G2655" s="92">
        <f>EXP($C$12+$C$8*_xlfn.NORM.S.INV(RAND()))</f>
        <v/>
      </c>
    </row>
    <row r="2656">
      <c r="F2656">
        <f>F2655+1</f>
        <v/>
      </c>
      <c r="G2656" s="92">
        <f>EXP($C$12+$C$8*_xlfn.NORM.S.INV(RAND()))</f>
        <v/>
      </c>
    </row>
    <row r="2657">
      <c r="F2657">
        <f>F2656+1</f>
        <v/>
      </c>
      <c r="G2657" s="92">
        <f>EXP($C$12+$C$8*_xlfn.NORM.S.INV(RAND()))</f>
        <v/>
      </c>
    </row>
    <row r="2658">
      <c r="F2658">
        <f>F2657+1</f>
        <v/>
      </c>
      <c r="G2658" s="92">
        <f>EXP($C$12+$C$8*_xlfn.NORM.S.INV(RAND()))</f>
        <v/>
      </c>
    </row>
    <row r="2659">
      <c r="F2659">
        <f>F2658+1</f>
        <v/>
      </c>
      <c r="G2659" s="92">
        <f>EXP($C$12+$C$8*_xlfn.NORM.S.INV(RAND()))</f>
        <v/>
      </c>
    </row>
    <row r="2660">
      <c r="F2660">
        <f>F2659+1</f>
        <v/>
      </c>
      <c r="G2660" s="92">
        <f>EXP($C$12+$C$8*_xlfn.NORM.S.INV(RAND()))</f>
        <v/>
      </c>
    </row>
    <row r="2661">
      <c r="F2661">
        <f>F2660+1</f>
        <v/>
      </c>
      <c r="G2661" s="92">
        <f>EXP($C$12+$C$8*_xlfn.NORM.S.INV(RAND()))</f>
        <v/>
      </c>
    </row>
    <row r="2662">
      <c r="F2662">
        <f>F2661+1</f>
        <v/>
      </c>
      <c r="G2662" s="92">
        <f>EXP($C$12+$C$8*_xlfn.NORM.S.INV(RAND()))</f>
        <v/>
      </c>
    </row>
    <row r="2663">
      <c r="F2663">
        <f>F2662+1</f>
        <v/>
      </c>
      <c r="G2663" s="92">
        <f>EXP($C$12+$C$8*_xlfn.NORM.S.INV(RAND()))</f>
        <v/>
      </c>
    </row>
    <row r="2664">
      <c r="F2664">
        <f>F2663+1</f>
        <v/>
      </c>
      <c r="G2664" s="92">
        <f>EXP($C$12+$C$8*_xlfn.NORM.S.INV(RAND()))</f>
        <v/>
      </c>
    </row>
    <row r="2665">
      <c r="F2665">
        <f>F2664+1</f>
        <v/>
      </c>
      <c r="G2665" s="92">
        <f>EXP($C$12+$C$8*_xlfn.NORM.S.INV(RAND()))</f>
        <v/>
      </c>
    </row>
    <row r="2666">
      <c r="F2666">
        <f>F2665+1</f>
        <v/>
      </c>
      <c r="G2666" s="92">
        <f>EXP($C$12+$C$8*_xlfn.NORM.S.INV(RAND()))</f>
        <v/>
      </c>
    </row>
    <row r="2667">
      <c r="F2667">
        <f>F2666+1</f>
        <v/>
      </c>
      <c r="G2667" s="92">
        <f>EXP($C$12+$C$8*_xlfn.NORM.S.INV(RAND()))</f>
        <v/>
      </c>
    </row>
    <row r="2668">
      <c r="F2668">
        <f>F2667+1</f>
        <v/>
      </c>
      <c r="G2668" s="92">
        <f>EXP($C$12+$C$8*_xlfn.NORM.S.INV(RAND()))</f>
        <v/>
      </c>
    </row>
    <row r="2669">
      <c r="F2669">
        <f>F2668+1</f>
        <v/>
      </c>
      <c r="G2669" s="92">
        <f>EXP($C$12+$C$8*_xlfn.NORM.S.INV(RAND()))</f>
        <v/>
      </c>
    </row>
    <row r="2670">
      <c r="F2670">
        <f>F2669+1</f>
        <v/>
      </c>
      <c r="G2670" s="92">
        <f>EXP($C$12+$C$8*_xlfn.NORM.S.INV(RAND()))</f>
        <v/>
      </c>
    </row>
    <row r="2671">
      <c r="F2671">
        <f>F2670+1</f>
        <v/>
      </c>
      <c r="G2671" s="92">
        <f>EXP($C$12+$C$8*_xlfn.NORM.S.INV(RAND()))</f>
        <v/>
      </c>
    </row>
    <row r="2672">
      <c r="F2672">
        <f>F2671+1</f>
        <v/>
      </c>
      <c r="G2672" s="92">
        <f>EXP($C$12+$C$8*_xlfn.NORM.S.INV(RAND()))</f>
        <v/>
      </c>
    </row>
    <row r="2673">
      <c r="F2673">
        <f>F2672+1</f>
        <v/>
      </c>
      <c r="G2673" s="92">
        <f>EXP($C$12+$C$8*_xlfn.NORM.S.INV(RAND()))</f>
        <v/>
      </c>
    </row>
    <row r="2674">
      <c r="F2674">
        <f>F2673+1</f>
        <v/>
      </c>
      <c r="G2674" s="92">
        <f>EXP($C$12+$C$8*_xlfn.NORM.S.INV(RAND()))</f>
        <v/>
      </c>
    </row>
    <row r="2675">
      <c r="F2675">
        <f>F2674+1</f>
        <v/>
      </c>
      <c r="G2675" s="92">
        <f>EXP($C$12+$C$8*_xlfn.NORM.S.INV(RAND()))</f>
        <v/>
      </c>
    </row>
    <row r="2676">
      <c r="F2676">
        <f>F2675+1</f>
        <v/>
      </c>
      <c r="G2676" s="92">
        <f>EXP($C$12+$C$8*_xlfn.NORM.S.INV(RAND()))</f>
        <v/>
      </c>
    </row>
    <row r="2677">
      <c r="F2677">
        <f>F2676+1</f>
        <v/>
      </c>
      <c r="G2677" s="92">
        <f>EXP($C$12+$C$8*_xlfn.NORM.S.INV(RAND()))</f>
        <v/>
      </c>
    </row>
    <row r="2678">
      <c r="F2678">
        <f>F2677+1</f>
        <v/>
      </c>
      <c r="G2678" s="92">
        <f>EXP($C$12+$C$8*_xlfn.NORM.S.INV(RAND()))</f>
        <v/>
      </c>
    </row>
    <row r="2679">
      <c r="F2679">
        <f>F2678+1</f>
        <v/>
      </c>
      <c r="G2679" s="92">
        <f>EXP($C$12+$C$8*_xlfn.NORM.S.INV(RAND()))</f>
        <v/>
      </c>
    </row>
    <row r="2680">
      <c r="F2680">
        <f>F2679+1</f>
        <v/>
      </c>
      <c r="G2680" s="92">
        <f>EXP($C$12+$C$8*_xlfn.NORM.S.INV(RAND()))</f>
        <v/>
      </c>
    </row>
    <row r="2681">
      <c r="F2681">
        <f>F2680+1</f>
        <v/>
      </c>
      <c r="G2681" s="92">
        <f>EXP($C$12+$C$8*_xlfn.NORM.S.INV(RAND()))</f>
        <v/>
      </c>
    </row>
    <row r="2682">
      <c r="F2682">
        <f>F2681+1</f>
        <v/>
      </c>
      <c r="G2682" s="92">
        <f>EXP($C$12+$C$8*_xlfn.NORM.S.INV(RAND()))</f>
        <v/>
      </c>
    </row>
    <row r="2683">
      <c r="F2683">
        <f>F2682+1</f>
        <v/>
      </c>
      <c r="G2683" s="92">
        <f>EXP($C$12+$C$8*_xlfn.NORM.S.INV(RAND()))</f>
        <v/>
      </c>
    </row>
    <row r="2684">
      <c r="F2684">
        <f>F2683+1</f>
        <v/>
      </c>
      <c r="G2684" s="92">
        <f>EXP($C$12+$C$8*_xlfn.NORM.S.INV(RAND()))</f>
        <v/>
      </c>
    </row>
    <row r="2685">
      <c r="F2685">
        <f>F2684+1</f>
        <v/>
      </c>
      <c r="G2685" s="92">
        <f>EXP($C$12+$C$8*_xlfn.NORM.S.INV(RAND()))</f>
        <v/>
      </c>
    </row>
    <row r="2686">
      <c r="F2686">
        <f>F2685+1</f>
        <v/>
      </c>
      <c r="G2686" s="92">
        <f>EXP($C$12+$C$8*_xlfn.NORM.S.INV(RAND()))</f>
        <v/>
      </c>
    </row>
    <row r="2687">
      <c r="F2687">
        <f>F2686+1</f>
        <v/>
      </c>
      <c r="G2687" s="92">
        <f>EXP($C$12+$C$8*_xlfn.NORM.S.INV(RAND()))</f>
        <v/>
      </c>
    </row>
    <row r="2688">
      <c r="F2688">
        <f>F2687+1</f>
        <v/>
      </c>
      <c r="G2688" s="92">
        <f>EXP($C$12+$C$8*_xlfn.NORM.S.INV(RAND()))</f>
        <v/>
      </c>
    </row>
    <row r="2689">
      <c r="F2689">
        <f>F2688+1</f>
        <v/>
      </c>
      <c r="G2689" s="92">
        <f>EXP($C$12+$C$8*_xlfn.NORM.S.INV(RAND()))</f>
        <v/>
      </c>
    </row>
    <row r="2690">
      <c r="F2690">
        <f>F2689+1</f>
        <v/>
      </c>
      <c r="G2690" s="92">
        <f>EXP($C$12+$C$8*_xlfn.NORM.S.INV(RAND()))</f>
        <v/>
      </c>
    </row>
    <row r="2691">
      <c r="F2691">
        <f>F2690+1</f>
        <v/>
      </c>
      <c r="G2691" s="92">
        <f>EXP($C$12+$C$8*_xlfn.NORM.S.INV(RAND()))</f>
        <v/>
      </c>
    </row>
    <row r="2692">
      <c r="F2692">
        <f>F2691+1</f>
        <v/>
      </c>
      <c r="G2692" s="92">
        <f>EXP($C$12+$C$8*_xlfn.NORM.S.INV(RAND()))</f>
        <v/>
      </c>
    </row>
    <row r="2693">
      <c r="F2693">
        <f>F2692+1</f>
        <v/>
      </c>
      <c r="G2693" s="92">
        <f>EXP($C$12+$C$8*_xlfn.NORM.S.INV(RAND()))</f>
        <v/>
      </c>
    </row>
    <row r="2694">
      <c r="F2694">
        <f>F2693+1</f>
        <v/>
      </c>
      <c r="G2694" s="92">
        <f>EXP($C$12+$C$8*_xlfn.NORM.S.INV(RAND()))</f>
        <v/>
      </c>
    </row>
    <row r="2695">
      <c r="F2695">
        <f>F2694+1</f>
        <v/>
      </c>
      <c r="G2695" s="92">
        <f>EXP($C$12+$C$8*_xlfn.NORM.S.INV(RAND()))</f>
        <v/>
      </c>
    </row>
    <row r="2696">
      <c r="F2696">
        <f>F2695+1</f>
        <v/>
      </c>
      <c r="G2696" s="92">
        <f>EXP($C$12+$C$8*_xlfn.NORM.S.INV(RAND()))</f>
        <v/>
      </c>
    </row>
    <row r="2697">
      <c r="F2697">
        <f>F2696+1</f>
        <v/>
      </c>
      <c r="G2697" s="92">
        <f>EXP($C$12+$C$8*_xlfn.NORM.S.INV(RAND()))</f>
        <v/>
      </c>
    </row>
    <row r="2698">
      <c r="F2698">
        <f>F2697+1</f>
        <v/>
      </c>
      <c r="G2698" s="92">
        <f>EXP($C$12+$C$8*_xlfn.NORM.S.INV(RAND()))</f>
        <v/>
      </c>
    </row>
    <row r="2699">
      <c r="F2699">
        <f>F2698+1</f>
        <v/>
      </c>
      <c r="G2699" s="92">
        <f>EXP($C$12+$C$8*_xlfn.NORM.S.INV(RAND()))</f>
        <v/>
      </c>
    </row>
    <row r="2700">
      <c r="F2700">
        <f>F2699+1</f>
        <v/>
      </c>
      <c r="G2700" s="92">
        <f>EXP($C$12+$C$8*_xlfn.NORM.S.INV(RAND()))</f>
        <v/>
      </c>
    </row>
    <row r="2701">
      <c r="F2701">
        <f>F2700+1</f>
        <v/>
      </c>
      <c r="G2701" s="92">
        <f>EXP($C$12+$C$8*_xlfn.NORM.S.INV(RAND()))</f>
        <v/>
      </c>
    </row>
    <row r="2702">
      <c r="F2702">
        <f>F2701+1</f>
        <v/>
      </c>
      <c r="G2702" s="92">
        <f>EXP($C$12+$C$8*_xlfn.NORM.S.INV(RAND()))</f>
        <v/>
      </c>
    </row>
    <row r="2703">
      <c r="F2703">
        <f>F2702+1</f>
        <v/>
      </c>
      <c r="G2703" s="92">
        <f>EXP($C$12+$C$8*_xlfn.NORM.S.INV(RAND()))</f>
        <v/>
      </c>
    </row>
    <row r="2704">
      <c r="F2704">
        <f>F2703+1</f>
        <v/>
      </c>
      <c r="G2704" s="92">
        <f>EXP($C$12+$C$8*_xlfn.NORM.S.INV(RAND()))</f>
        <v/>
      </c>
    </row>
    <row r="2705">
      <c r="F2705">
        <f>F2704+1</f>
        <v/>
      </c>
      <c r="G2705" s="92">
        <f>EXP($C$12+$C$8*_xlfn.NORM.S.INV(RAND()))</f>
        <v/>
      </c>
    </row>
    <row r="2706">
      <c r="F2706">
        <f>F2705+1</f>
        <v/>
      </c>
      <c r="G2706" s="92">
        <f>EXP($C$12+$C$8*_xlfn.NORM.S.INV(RAND()))</f>
        <v/>
      </c>
    </row>
    <row r="2707">
      <c r="F2707">
        <f>F2706+1</f>
        <v/>
      </c>
      <c r="G2707" s="92">
        <f>EXP($C$12+$C$8*_xlfn.NORM.S.INV(RAND()))</f>
        <v/>
      </c>
    </row>
    <row r="2708">
      <c r="F2708">
        <f>F2707+1</f>
        <v/>
      </c>
      <c r="G2708" s="92">
        <f>EXP($C$12+$C$8*_xlfn.NORM.S.INV(RAND()))</f>
        <v/>
      </c>
    </row>
    <row r="2709">
      <c r="F2709">
        <f>F2708+1</f>
        <v/>
      </c>
      <c r="G2709" s="92">
        <f>EXP($C$12+$C$8*_xlfn.NORM.S.INV(RAND()))</f>
        <v/>
      </c>
    </row>
    <row r="2710">
      <c r="F2710">
        <f>F2709+1</f>
        <v/>
      </c>
      <c r="G2710" s="92">
        <f>EXP($C$12+$C$8*_xlfn.NORM.S.INV(RAND()))</f>
        <v/>
      </c>
    </row>
    <row r="2711">
      <c r="F2711">
        <f>F2710+1</f>
        <v/>
      </c>
      <c r="G2711" s="92">
        <f>EXP($C$12+$C$8*_xlfn.NORM.S.INV(RAND()))</f>
        <v/>
      </c>
    </row>
    <row r="2712">
      <c r="F2712">
        <f>F2711+1</f>
        <v/>
      </c>
      <c r="G2712" s="92">
        <f>EXP($C$12+$C$8*_xlfn.NORM.S.INV(RAND()))</f>
        <v/>
      </c>
    </row>
    <row r="2713">
      <c r="F2713">
        <f>F2712+1</f>
        <v/>
      </c>
      <c r="G2713" s="92">
        <f>EXP($C$12+$C$8*_xlfn.NORM.S.INV(RAND()))</f>
        <v/>
      </c>
    </row>
    <row r="2714">
      <c r="F2714">
        <f>F2713+1</f>
        <v/>
      </c>
      <c r="G2714" s="92">
        <f>EXP($C$12+$C$8*_xlfn.NORM.S.INV(RAND()))</f>
        <v/>
      </c>
    </row>
    <row r="2715">
      <c r="F2715">
        <f>F2714+1</f>
        <v/>
      </c>
      <c r="G2715" s="92">
        <f>EXP($C$12+$C$8*_xlfn.NORM.S.INV(RAND()))</f>
        <v/>
      </c>
    </row>
    <row r="2716">
      <c r="F2716">
        <f>F2715+1</f>
        <v/>
      </c>
      <c r="G2716" s="92">
        <f>EXP($C$12+$C$8*_xlfn.NORM.S.INV(RAND()))</f>
        <v/>
      </c>
    </row>
    <row r="2717">
      <c r="F2717">
        <f>F2716+1</f>
        <v/>
      </c>
      <c r="G2717" s="92">
        <f>EXP($C$12+$C$8*_xlfn.NORM.S.INV(RAND()))</f>
        <v/>
      </c>
    </row>
    <row r="2718">
      <c r="F2718">
        <f>F2717+1</f>
        <v/>
      </c>
      <c r="G2718" s="92">
        <f>EXP($C$12+$C$8*_xlfn.NORM.S.INV(RAND()))</f>
        <v/>
      </c>
    </row>
    <row r="2719">
      <c r="F2719">
        <f>F2718+1</f>
        <v/>
      </c>
      <c r="G2719" s="92">
        <f>EXP($C$12+$C$8*_xlfn.NORM.S.INV(RAND()))</f>
        <v/>
      </c>
    </row>
    <row r="2720">
      <c r="F2720">
        <f>F2719+1</f>
        <v/>
      </c>
      <c r="G2720" s="92">
        <f>EXP($C$12+$C$8*_xlfn.NORM.S.INV(RAND()))</f>
        <v/>
      </c>
    </row>
    <row r="2721">
      <c r="F2721">
        <f>F2720+1</f>
        <v/>
      </c>
      <c r="G2721" s="92">
        <f>EXP($C$12+$C$8*_xlfn.NORM.S.INV(RAND()))</f>
        <v/>
      </c>
    </row>
    <row r="2722">
      <c r="F2722">
        <f>F2721+1</f>
        <v/>
      </c>
      <c r="G2722" s="92">
        <f>EXP($C$12+$C$8*_xlfn.NORM.S.INV(RAND()))</f>
        <v/>
      </c>
    </row>
    <row r="2723">
      <c r="F2723">
        <f>F2722+1</f>
        <v/>
      </c>
      <c r="G2723" s="92">
        <f>EXP($C$12+$C$8*_xlfn.NORM.S.INV(RAND()))</f>
        <v/>
      </c>
    </row>
    <row r="2724">
      <c r="F2724">
        <f>F2723+1</f>
        <v/>
      </c>
      <c r="G2724" s="92">
        <f>EXP($C$12+$C$8*_xlfn.NORM.S.INV(RAND()))</f>
        <v/>
      </c>
    </row>
    <row r="2725">
      <c r="F2725">
        <f>F2724+1</f>
        <v/>
      </c>
      <c r="G2725" s="92">
        <f>EXP($C$12+$C$8*_xlfn.NORM.S.INV(RAND()))</f>
        <v/>
      </c>
    </row>
    <row r="2726">
      <c r="F2726">
        <f>F2725+1</f>
        <v/>
      </c>
      <c r="G2726" s="92">
        <f>EXP($C$12+$C$8*_xlfn.NORM.S.INV(RAND()))</f>
        <v/>
      </c>
    </row>
    <row r="2727">
      <c r="F2727">
        <f>F2726+1</f>
        <v/>
      </c>
      <c r="G2727" s="92">
        <f>EXP($C$12+$C$8*_xlfn.NORM.S.INV(RAND()))</f>
        <v/>
      </c>
    </row>
    <row r="2728">
      <c r="F2728">
        <f>F2727+1</f>
        <v/>
      </c>
      <c r="G2728" s="92">
        <f>EXP($C$12+$C$8*_xlfn.NORM.S.INV(RAND()))</f>
        <v/>
      </c>
    </row>
    <row r="2729">
      <c r="F2729">
        <f>F2728+1</f>
        <v/>
      </c>
      <c r="G2729" s="92">
        <f>EXP($C$12+$C$8*_xlfn.NORM.S.INV(RAND()))</f>
        <v/>
      </c>
    </row>
    <row r="2730">
      <c r="F2730">
        <f>F2729+1</f>
        <v/>
      </c>
      <c r="G2730" s="92">
        <f>EXP($C$12+$C$8*_xlfn.NORM.S.INV(RAND()))</f>
        <v/>
      </c>
    </row>
    <row r="2731">
      <c r="F2731">
        <f>F2730+1</f>
        <v/>
      </c>
      <c r="G2731" s="92">
        <f>EXP($C$12+$C$8*_xlfn.NORM.S.INV(RAND()))</f>
        <v/>
      </c>
    </row>
    <row r="2732">
      <c r="F2732">
        <f>F2731+1</f>
        <v/>
      </c>
      <c r="G2732" s="92">
        <f>EXP($C$12+$C$8*_xlfn.NORM.S.INV(RAND()))</f>
        <v/>
      </c>
    </row>
    <row r="2733">
      <c r="F2733">
        <f>F2732+1</f>
        <v/>
      </c>
      <c r="G2733" s="92">
        <f>EXP($C$12+$C$8*_xlfn.NORM.S.INV(RAND()))</f>
        <v/>
      </c>
    </row>
    <row r="2734">
      <c r="F2734">
        <f>F2733+1</f>
        <v/>
      </c>
      <c r="G2734" s="92">
        <f>EXP($C$12+$C$8*_xlfn.NORM.S.INV(RAND()))</f>
        <v/>
      </c>
    </row>
    <row r="2735">
      <c r="F2735">
        <f>F2734+1</f>
        <v/>
      </c>
      <c r="G2735" s="92">
        <f>EXP($C$12+$C$8*_xlfn.NORM.S.INV(RAND()))</f>
        <v/>
      </c>
    </row>
    <row r="2736">
      <c r="F2736">
        <f>F2735+1</f>
        <v/>
      </c>
      <c r="G2736" s="92">
        <f>EXP($C$12+$C$8*_xlfn.NORM.S.INV(RAND()))</f>
        <v/>
      </c>
    </row>
    <row r="2737">
      <c r="F2737">
        <f>F2736+1</f>
        <v/>
      </c>
      <c r="G2737" s="92">
        <f>EXP($C$12+$C$8*_xlfn.NORM.S.INV(RAND()))</f>
        <v/>
      </c>
    </row>
    <row r="2738">
      <c r="F2738">
        <f>F2737+1</f>
        <v/>
      </c>
      <c r="G2738" s="92">
        <f>EXP($C$12+$C$8*_xlfn.NORM.S.INV(RAND()))</f>
        <v/>
      </c>
    </row>
    <row r="2739">
      <c r="F2739">
        <f>F2738+1</f>
        <v/>
      </c>
      <c r="G2739" s="92">
        <f>EXP($C$12+$C$8*_xlfn.NORM.S.INV(RAND()))</f>
        <v/>
      </c>
    </row>
    <row r="2740">
      <c r="F2740">
        <f>F2739+1</f>
        <v/>
      </c>
      <c r="G2740" s="92">
        <f>EXP($C$12+$C$8*_xlfn.NORM.S.INV(RAND()))</f>
        <v/>
      </c>
    </row>
    <row r="2741">
      <c r="F2741">
        <f>F2740+1</f>
        <v/>
      </c>
      <c r="G2741" s="92">
        <f>EXP($C$12+$C$8*_xlfn.NORM.S.INV(RAND()))</f>
        <v/>
      </c>
    </row>
    <row r="2742">
      <c r="F2742">
        <f>F2741+1</f>
        <v/>
      </c>
      <c r="G2742" s="92">
        <f>EXP($C$12+$C$8*_xlfn.NORM.S.INV(RAND()))</f>
        <v/>
      </c>
    </row>
    <row r="2743">
      <c r="F2743">
        <f>F2742+1</f>
        <v/>
      </c>
      <c r="G2743" s="92">
        <f>EXP($C$12+$C$8*_xlfn.NORM.S.INV(RAND()))</f>
        <v/>
      </c>
    </row>
    <row r="2744">
      <c r="F2744">
        <f>F2743+1</f>
        <v/>
      </c>
      <c r="G2744" s="92">
        <f>EXP($C$12+$C$8*_xlfn.NORM.S.INV(RAND()))</f>
        <v/>
      </c>
    </row>
    <row r="2745">
      <c r="F2745">
        <f>F2744+1</f>
        <v/>
      </c>
      <c r="G2745" s="92">
        <f>EXP($C$12+$C$8*_xlfn.NORM.S.INV(RAND()))</f>
        <v/>
      </c>
    </row>
    <row r="2746">
      <c r="F2746">
        <f>F2745+1</f>
        <v/>
      </c>
      <c r="G2746" s="92">
        <f>EXP($C$12+$C$8*_xlfn.NORM.S.INV(RAND()))</f>
        <v/>
      </c>
    </row>
    <row r="2747">
      <c r="F2747">
        <f>F2746+1</f>
        <v/>
      </c>
      <c r="G2747" s="92">
        <f>EXP($C$12+$C$8*_xlfn.NORM.S.INV(RAND()))</f>
        <v/>
      </c>
    </row>
    <row r="2748">
      <c r="F2748">
        <f>F2747+1</f>
        <v/>
      </c>
      <c r="G2748" s="92">
        <f>EXP($C$12+$C$8*_xlfn.NORM.S.INV(RAND()))</f>
        <v/>
      </c>
    </row>
    <row r="2749">
      <c r="F2749">
        <f>F2748+1</f>
        <v/>
      </c>
      <c r="G2749" s="92">
        <f>EXP($C$12+$C$8*_xlfn.NORM.S.INV(RAND()))</f>
        <v/>
      </c>
    </row>
    <row r="2750">
      <c r="F2750">
        <f>F2749+1</f>
        <v/>
      </c>
      <c r="G2750" s="92">
        <f>EXP($C$12+$C$8*_xlfn.NORM.S.INV(RAND()))</f>
        <v/>
      </c>
    </row>
    <row r="2751">
      <c r="F2751">
        <f>F2750+1</f>
        <v/>
      </c>
      <c r="G2751" s="92">
        <f>EXP($C$12+$C$8*_xlfn.NORM.S.INV(RAND()))</f>
        <v/>
      </c>
    </row>
    <row r="2752">
      <c r="F2752">
        <f>F2751+1</f>
        <v/>
      </c>
      <c r="G2752" s="92">
        <f>EXP($C$12+$C$8*_xlfn.NORM.S.INV(RAND()))</f>
        <v/>
      </c>
    </row>
    <row r="2753">
      <c r="F2753">
        <f>F2752+1</f>
        <v/>
      </c>
      <c r="G2753" s="92">
        <f>EXP($C$12+$C$8*_xlfn.NORM.S.INV(RAND()))</f>
        <v/>
      </c>
    </row>
    <row r="2754">
      <c r="F2754">
        <f>F2753+1</f>
        <v/>
      </c>
      <c r="G2754" s="92">
        <f>EXP($C$12+$C$8*_xlfn.NORM.S.INV(RAND()))</f>
        <v/>
      </c>
    </row>
    <row r="2755">
      <c r="F2755">
        <f>F2754+1</f>
        <v/>
      </c>
      <c r="G2755" s="92">
        <f>EXP($C$12+$C$8*_xlfn.NORM.S.INV(RAND()))</f>
        <v/>
      </c>
    </row>
    <row r="2756">
      <c r="F2756">
        <f>F2755+1</f>
        <v/>
      </c>
      <c r="G2756" s="92">
        <f>EXP($C$12+$C$8*_xlfn.NORM.S.INV(RAND()))</f>
        <v/>
      </c>
    </row>
    <row r="2757">
      <c r="F2757">
        <f>F2756+1</f>
        <v/>
      </c>
      <c r="G2757" s="92">
        <f>EXP($C$12+$C$8*_xlfn.NORM.S.INV(RAND()))</f>
        <v/>
      </c>
    </row>
    <row r="2758">
      <c r="F2758">
        <f>F2757+1</f>
        <v/>
      </c>
      <c r="G2758" s="92">
        <f>EXP($C$12+$C$8*_xlfn.NORM.S.INV(RAND()))</f>
        <v/>
      </c>
    </row>
    <row r="2759">
      <c r="F2759">
        <f>F2758+1</f>
        <v/>
      </c>
      <c r="G2759" s="92">
        <f>EXP($C$12+$C$8*_xlfn.NORM.S.INV(RAND()))</f>
        <v/>
      </c>
    </row>
    <row r="2760">
      <c r="F2760">
        <f>F2759+1</f>
        <v/>
      </c>
      <c r="G2760" s="92">
        <f>EXP($C$12+$C$8*_xlfn.NORM.S.INV(RAND()))</f>
        <v/>
      </c>
    </row>
    <row r="2761">
      <c r="F2761">
        <f>F2760+1</f>
        <v/>
      </c>
      <c r="G2761" s="92">
        <f>EXP($C$12+$C$8*_xlfn.NORM.S.INV(RAND()))</f>
        <v/>
      </c>
    </row>
    <row r="2762">
      <c r="F2762">
        <f>F2761+1</f>
        <v/>
      </c>
      <c r="G2762" s="92">
        <f>EXP($C$12+$C$8*_xlfn.NORM.S.INV(RAND()))</f>
        <v/>
      </c>
    </row>
    <row r="2763">
      <c r="F2763">
        <f>F2762+1</f>
        <v/>
      </c>
      <c r="G2763" s="92">
        <f>EXP($C$12+$C$8*_xlfn.NORM.S.INV(RAND()))</f>
        <v/>
      </c>
    </row>
    <row r="2764">
      <c r="F2764">
        <f>F2763+1</f>
        <v/>
      </c>
      <c r="G2764" s="92">
        <f>EXP($C$12+$C$8*_xlfn.NORM.S.INV(RAND()))</f>
        <v/>
      </c>
    </row>
    <row r="2765">
      <c r="F2765">
        <f>F2764+1</f>
        <v/>
      </c>
      <c r="G2765" s="92">
        <f>EXP($C$12+$C$8*_xlfn.NORM.S.INV(RAND()))</f>
        <v/>
      </c>
    </row>
    <row r="2766">
      <c r="F2766">
        <f>F2765+1</f>
        <v/>
      </c>
      <c r="G2766" s="92">
        <f>EXP($C$12+$C$8*_xlfn.NORM.S.INV(RAND()))</f>
        <v/>
      </c>
    </row>
    <row r="2767">
      <c r="F2767">
        <f>F2766+1</f>
        <v/>
      </c>
      <c r="G2767" s="92">
        <f>EXP($C$12+$C$8*_xlfn.NORM.S.INV(RAND()))</f>
        <v/>
      </c>
    </row>
    <row r="2768">
      <c r="F2768">
        <f>F2767+1</f>
        <v/>
      </c>
      <c r="G2768" s="92">
        <f>EXP($C$12+$C$8*_xlfn.NORM.S.INV(RAND()))</f>
        <v/>
      </c>
    </row>
    <row r="2769">
      <c r="F2769">
        <f>F2768+1</f>
        <v/>
      </c>
      <c r="G2769" s="92">
        <f>EXP($C$12+$C$8*_xlfn.NORM.S.INV(RAND()))</f>
        <v/>
      </c>
    </row>
    <row r="2770">
      <c r="F2770">
        <f>F2769+1</f>
        <v/>
      </c>
      <c r="G2770" s="92">
        <f>EXP($C$12+$C$8*_xlfn.NORM.S.INV(RAND()))</f>
        <v/>
      </c>
    </row>
    <row r="2771">
      <c r="F2771">
        <f>F2770+1</f>
        <v/>
      </c>
      <c r="G2771" s="92">
        <f>EXP($C$12+$C$8*_xlfn.NORM.S.INV(RAND()))</f>
        <v/>
      </c>
    </row>
    <row r="2772">
      <c r="F2772">
        <f>F2771+1</f>
        <v/>
      </c>
      <c r="G2772" s="92">
        <f>EXP($C$12+$C$8*_xlfn.NORM.S.INV(RAND()))</f>
        <v/>
      </c>
    </row>
    <row r="2773">
      <c r="F2773">
        <f>F2772+1</f>
        <v/>
      </c>
      <c r="G2773" s="92">
        <f>EXP($C$12+$C$8*_xlfn.NORM.S.INV(RAND()))</f>
        <v/>
      </c>
    </row>
    <row r="2774">
      <c r="F2774">
        <f>F2773+1</f>
        <v/>
      </c>
      <c r="G2774" s="92">
        <f>EXP($C$12+$C$8*_xlfn.NORM.S.INV(RAND()))</f>
        <v/>
      </c>
    </row>
    <row r="2775">
      <c r="F2775">
        <f>F2774+1</f>
        <v/>
      </c>
      <c r="G2775" s="92">
        <f>EXP($C$12+$C$8*_xlfn.NORM.S.INV(RAND()))</f>
        <v/>
      </c>
    </row>
    <row r="2776">
      <c r="F2776">
        <f>F2775+1</f>
        <v/>
      </c>
      <c r="G2776" s="92">
        <f>EXP($C$12+$C$8*_xlfn.NORM.S.INV(RAND()))</f>
        <v/>
      </c>
    </row>
    <row r="2777">
      <c r="F2777">
        <f>F2776+1</f>
        <v/>
      </c>
      <c r="G2777" s="92">
        <f>EXP($C$12+$C$8*_xlfn.NORM.S.INV(RAND()))</f>
        <v/>
      </c>
    </row>
    <row r="2778">
      <c r="F2778">
        <f>F2777+1</f>
        <v/>
      </c>
      <c r="G2778" s="92">
        <f>EXP($C$12+$C$8*_xlfn.NORM.S.INV(RAND()))</f>
        <v/>
      </c>
    </row>
    <row r="2779">
      <c r="F2779">
        <f>F2778+1</f>
        <v/>
      </c>
      <c r="G2779" s="92">
        <f>EXP($C$12+$C$8*_xlfn.NORM.S.INV(RAND()))</f>
        <v/>
      </c>
    </row>
    <row r="2780">
      <c r="F2780">
        <f>F2779+1</f>
        <v/>
      </c>
      <c r="G2780" s="92">
        <f>EXP($C$12+$C$8*_xlfn.NORM.S.INV(RAND()))</f>
        <v/>
      </c>
    </row>
    <row r="2781">
      <c r="F2781">
        <f>F2780+1</f>
        <v/>
      </c>
      <c r="G2781" s="92">
        <f>EXP($C$12+$C$8*_xlfn.NORM.S.INV(RAND()))</f>
        <v/>
      </c>
    </row>
    <row r="2782">
      <c r="F2782">
        <f>F2781+1</f>
        <v/>
      </c>
      <c r="G2782" s="92">
        <f>EXP($C$12+$C$8*_xlfn.NORM.S.INV(RAND()))</f>
        <v/>
      </c>
    </row>
    <row r="2783">
      <c r="F2783">
        <f>F2782+1</f>
        <v/>
      </c>
      <c r="G2783" s="92">
        <f>EXP($C$12+$C$8*_xlfn.NORM.S.INV(RAND()))</f>
        <v/>
      </c>
    </row>
    <row r="2784">
      <c r="F2784">
        <f>F2783+1</f>
        <v/>
      </c>
      <c r="G2784" s="92">
        <f>EXP($C$12+$C$8*_xlfn.NORM.S.INV(RAND()))</f>
        <v/>
      </c>
    </row>
    <row r="2785">
      <c r="F2785">
        <f>F2784+1</f>
        <v/>
      </c>
      <c r="G2785" s="92">
        <f>EXP($C$12+$C$8*_xlfn.NORM.S.INV(RAND()))</f>
        <v/>
      </c>
    </row>
    <row r="2786">
      <c r="F2786">
        <f>F2785+1</f>
        <v/>
      </c>
      <c r="G2786" s="92">
        <f>EXP($C$12+$C$8*_xlfn.NORM.S.INV(RAND()))</f>
        <v/>
      </c>
    </row>
    <row r="2787">
      <c r="F2787">
        <f>F2786+1</f>
        <v/>
      </c>
      <c r="G2787" s="92">
        <f>EXP($C$12+$C$8*_xlfn.NORM.S.INV(RAND()))</f>
        <v/>
      </c>
    </row>
    <row r="2788">
      <c r="F2788">
        <f>F2787+1</f>
        <v/>
      </c>
      <c r="G2788" s="92">
        <f>EXP($C$12+$C$8*_xlfn.NORM.S.INV(RAND()))</f>
        <v/>
      </c>
    </row>
    <row r="2789">
      <c r="F2789">
        <f>F2788+1</f>
        <v/>
      </c>
      <c r="G2789" s="92">
        <f>EXP($C$12+$C$8*_xlfn.NORM.S.INV(RAND()))</f>
        <v/>
      </c>
    </row>
    <row r="2790">
      <c r="F2790">
        <f>F2789+1</f>
        <v/>
      </c>
      <c r="G2790" s="92">
        <f>EXP($C$12+$C$8*_xlfn.NORM.S.INV(RAND()))</f>
        <v/>
      </c>
    </row>
    <row r="2791">
      <c r="F2791">
        <f>F2790+1</f>
        <v/>
      </c>
      <c r="G2791" s="92">
        <f>EXP($C$12+$C$8*_xlfn.NORM.S.INV(RAND()))</f>
        <v/>
      </c>
    </row>
    <row r="2792">
      <c r="F2792">
        <f>F2791+1</f>
        <v/>
      </c>
      <c r="G2792" s="92">
        <f>EXP($C$12+$C$8*_xlfn.NORM.S.INV(RAND()))</f>
        <v/>
      </c>
    </row>
    <row r="2793">
      <c r="F2793">
        <f>F2792+1</f>
        <v/>
      </c>
      <c r="G2793" s="92">
        <f>EXP($C$12+$C$8*_xlfn.NORM.S.INV(RAND()))</f>
        <v/>
      </c>
    </row>
    <row r="2794">
      <c r="F2794">
        <f>F2793+1</f>
        <v/>
      </c>
      <c r="G2794" s="92">
        <f>EXP($C$12+$C$8*_xlfn.NORM.S.INV(RAND()))</f>
        <v/>
      </c>
    </row>
    <row r="2795">
      <c r="F2795">
        <f>F2794+1</f>
        <v/>
      </c>
      <c r="G2795" s="92">
        <f>EXP($C$12+$C$8*_xlfn.NORM.S.INV(RAND()))</f>
        <v/>
      </c>
    </row>
    <row r="2796">
      <c r="F2796">
        <f>F2795+1</f>
        <v/>
      </c>
      <c r="G2796" s="92">
        <f>EXP($C$12+$C$8*_xlfn.NORM.S.INV(RAND()))</f>
        <v/>
      </c>
    </row>
    <row r="2797">
      <c r="F2797">
        <f>F2796+1</f>
        <v/>
      </c>
      <c r="G2797" s="92">
        <f>EXP($C$12+$C$8*_xlfn.NORM.S.INV(RAND()))</f>
        <v/>
      </c>
    </row>
    <row r="2798">
      <c r="F2798">
        <f>F2797+1</f>
        <v/>
      </c>
      <c r="G2798" s="92">
        <f>EXP($C$12+$C$8*_xlfn.NORM.S.INV(RAND()))</f>
        <v/>
      </c>
    </row>
    <row r="2799">
      <c r="F2799">
        <f>F2798+1</f>
        <v/>
      </c>
      <c r="G2799" s="92">
        <f>EXP($C$12+$C$8*_xlfn.NORM.S.INV(RAND()))</f>
        <v/>
      </c>
    </row>
    <row r="2800">
      <c r="F2800">
        <f>F2799+1</f>
        <v/>
      </c>
      <c r="G2800" s="92">
        <f>EXP($C$12+$C$8*_xlfn.NORM.S.INV(RAND()))</f>
        <v/>
      </c>
    </row>
    <row r="2801">
      <c r="F2801">
        <f>F2800+1</f>
        <v/>
      </c>
      <c r="G2801" s="92">
        <f>EXP($C$12+$C$8*_xlfn.NORM.S.INV(RAND()))</f>
        <v/>
      </c>
    </row>
    <row r="2802">
      <c r="F2802">
        <f>F2801+1</f>
        <v/>
      </c>
      <c r="G2802" s="92">
        <f>EXP($C$12+$C$8*_xlfn.NORM.S.INV(RAND()))</f>
        <v/>
      </c>
    </row>
    <row r="2803">
      <c r="F2803">
        <f>F2802+1</f>
        <v/>
      </c>
      <c r="G2803" s="92">
        <f>EXP($C$12+$C$8*_xlfn.NORM.S.INV(RAND()))</f>
        <v/>
      </c>
    </row>
    <row r="2804">
      <c r="F2804">
        <f>F2803+1</f>
        <v/>
      </c>
      <c r="G2804" s="92">
        <f>EXP($C$12+$C$8*_xlfn.NORM.S.INV(RAND()))</f>
        <v/>
      </c>
    </row>
    <row r="2805">
      <c r="F2805">
        <f>F2804+1</f>
        <v/>
      </c>
      <c r="G2805" s="92">
        <f>EXP($C$12+$C$8*_xlfn.NORM.S.INV(RAND()))</f>
        <v/>
      </c>
    </row>
    <row r="2806">
      <c r="F2806">
        <f>F2805+1</f>
        <v/>
      </c>
      <c r="G2806" s="92">
        <f>EXP($C$12+$C$8*_xlfn.NORM.S.INV(RAND()))</f>
        <v/>
      </c>
    </row>
    <row r="2807">
      <c r="F2807">
        <f>F2806+1</f>
        <v/>
      </c>
      <c r="G2807" s="92">
        <f>EXP($C$12+$C$8*_xlfn.NORM.S.INV(RAND()))</f>
        <v/>
      </c>
    </row>
    <row r="2808">
      <c r="F2808">
        <f>F2807+1</f>
        <v/>
      </c>
      <c r="G2808" s="92">
        <f>EXP($C$12+$C$8*_xlfn.NORM.S.INV(RAND()))</f>
        <v/>
      </c>
    </row>
    <row r="2809">
      <c r="F2809">
        <f>F2808+1</f>
        <v/>
      </c>
      <c r="G2809" s="92">
        <f>EXP($C$12+$C$8*_xlfn.NORM.S.INV(RAND()))</f>
        <v/>
      </c>
    </row>
    <row r="2810">
      <c r="F2810">
        <f>F2809+1</f>
        <v/>
      </c>
      <c r="G2810" s="92">
        <f>EXP($C$12+$C$8*_xlfn.NORM.S.INV(RAND()))</f>
        <v/>
      </c>
    </row>
    <row r="2811">
      <c r="F2811">
        <f>F2810+1</f>
        <v/>
      </c>
      <c r="G2811" s="92">
        <f>EXP($C$12+$C$8*_xlfn.NORM.S.INV(RAND()))</f>
        <v/>
      </c>
    </row>
    <row r="2812">
      <c r="F2812">
        <f>F2811+1</f>
        <v/>
      </c>
      <c r="G2812" s="92">
        <f>EXP($C$12+$C$8*_xlfn.NORM.S.INV(RAND()))</f>
        <v/>
      </c>
    </row>
    <row r="2813">
      <c r="F2813">
        <f>F2812+1</f>
        <v/>
      </c>
      <c r="G2813" s="92">
        <f>EXP($C$12+$C$8*_xlfn.NORM.S.INV(RAND()))</f>
        <v/>
      </c>
    </row>
    <row r="2814">
      <c r="F2814">
        <f>F2813+1</f>
        <v/>
      </c>
      <c r="G2814" s="92">
        <f>EXP($C$12+$C$8*_xlfn.NORM.S.INV(RAND()))</f>
        <v/>
      </c>
    </row>
    <row r="2815">
      <c r="F2815">
        <f>F2814+1</f>
        <v/>
      </c>
      <c r="G2815" s="92">
        <f>EXP($C$12+$C$8*_xlfn.NORM.S.INV(RAND()))</f>
        <v/>
      </c>
    </row>
    <row r="2816">
      <c r="F2816">
        <f>F2815+1</f>
        <v/>
      </c>
      <c r="G2816" s="92">
        <f>EXP($C$12+$C$8*_xlfn.NORM.S.INV(RAND()))</f>
        <v/>
      </c>
    </row>
    <row r="2817">
      <c r="F2817">
        <f>F2816+1</f>
        <v/>
      </c>
      <c r="G2817" s="92">
        <f>EXP($C$12+$C$8*_xlfn.NORM.S.INV(RAND()))</f>
        <v/>
      </c>
    </row>
    <row r="2818">
      <c r="F2818">
        <f>F2817+1</f>
        <v/>
      </c>
      <c r="G2818" s="92">
        <f>EXP($C$12+$C$8*_xlfn.NORM.S.INV(RAND()))</f>
        <v/>
      </c>
    </row>
    <row r="2819">
      <c r="F2819">
        <f>F2818+1</f>
        <v/>
      </c>
      <c r="G2819" s="92">
        <f>EXP($C$12+$C$8*_xlfn.NORM.S.INV(RAND()))</f>
        <v/>
      </c>
    </row>
    <row r="2820">
      <c r="F2820">
        <f>F2819+1</f>
        <v/>
      </c>
      <c r="G2820" s="92">
        <f>EXP($C$12+$C$8*_xlfn.NORM.S.INV(RAND()))</f>
        <v/>
      </c>
    </row>
    <row r="2821">
      <c r="F2821">
        <f>F2820+1</f>
        <v/>
      </c>
      <c r="G2821" s="92">
        <f>EXP($C$12+$C$8*_xlfn.NORM.S.INV(RAND()))</f>
        <v/>
      </c>
    </row>
    <row r="2822">
      <c r="F2822">
        <f>F2821+1</f>
        <v/>
      </c>
      <c r="G2822" s="92">
        <f>EXP($C$12+$C$8*_xlfn.NORM.S.INV(RAND()))</f>
        <v/>
      </c>
    </row>
    <row r="2823">
      <c r="F2823">
        <f>F2822+1</f>
        <v/>
      </c>
      <c r="G2823" s="92">
        <f>EXP($C$12+$C$8*_xlfn.NORM.S.INV(RAND()))</f>
        <v/>
      </c>
    </row>
    <row r="2824">
      <c r="F2824">
        <f>F2823+1</f>
        <v/>
      </c>
      <c r="G2824" s="92">
        <f>EXP($C$12+$C$8*_xlfn.NORM.S.INV(RAND()))</f>
        <v/>
      </c>
    </row>
    <row r="2825">
      <c r="F2825">
        <f>F2824+1</f>
        <v/>
      </c>
      <c r="G2825" s="92">
        <f>EXP($C$12+$C$8*_xlfn.NORM.S.INV(RAND()))</f>
        <v/>
      </c>
    </row>
    <row r="2826">
      <c r="F2826">
        <f>F2825+1</f>
        <v/>
      </c>
      <c r="G2826" s="92">
        <f>EXP($C$12+$C$8*_xlfn.NORM.S.INV(RAND()))</f>
        <v/>
      </c>
    </row>
    <row r="2827">
      <c r="F2827">
        <f>F2826+1</f>
        <v/>
      </c>
      <c r="G2827" s="92">
        <f>EXP($C$12+$C$8*_xlfn.NORM.S.INV(RAND()))</f>
        <v/>
      </c>
    </row>
    <row r="2828">
      <c r="F2828">
        <f>F2827+1</f>
        <v/>
      </c>
      <c r="G2828" s="92">
        <f>EXP($C$12+$C$8*_xlfn.NORM.S.INV(RAND()))</f>
        <v/>
      </c>
    </row>
    <row r="2829">
      <c r="F2829">
        <f>F2828+1</f>
        <v/>
      </c>
      <c r="G2829" s="92">
        <f>EXP($C$12+$C$8*_xlfn.NORM.S.INV(RAND()))</f>
        <v/>
      </c>
    </row>
    <row r="2830">
      <c r="F2830">
        <f>F2829+1</f>
        <v/>
      </c>
      <c r="G2830" s="92">
        <f>EXP($C$12+$C$8*_xlfn.NORM.S.INV(RAND()))</f>
        <v/>
      </c>
    </row>
    <row r="2831">
      <c r="F2831">
        <f>F2830+1</f>
        <v/>
      </c>
      <c r="G2831" s="92">
        <f>EXP($C$12+$C$8*_xlfn.NORM.S.INV(RAND()))</f>
        <v/>
      </c>
    </row>
    <row r="2832">
      <c r="F2832">
        <f>F2831+1</f>
        <v/>
      </c>
      <c r="G2832" s="92">
        <f>EXP($C$12+$C$8*_xlfn.NORM.S.INV(RAND()))</f>
        <v/>
      </c>
    </row>
    <row r="2833">
      <c r="F2833">
        <f>F2832+1</f>
        <v/>
      </c>
      <c r="G2833" s="92">
        <f>EXP($C$12+$C$8*_xlfn.NORM.S.INV(RAND()))</f>
        <v/>
      </c>
    </row>
    <row r="2834">
      <c r="F2834">
        <f>F2833+1</f>
        <v/>
      </c>
      <c r="G2834" s="92">
        <f>EXP($C$12+$C$8*_xlfn.NORM.S.INV(RAND()))</f>
        <v/>
      </c>
    </row>
    <row r="2835">
      <c r="F2835">
        <f>F2834+1</f>
        <v/>
      </c>
      <c r="G2835" s="92">
        <f>EXP($C$12+$C$8*_xlfn.NORM.S.INV(RAND()))</f>
        <v/>
      </c>
    </row>
    <row r="2836">
      <c r="F2836">
        <f>F2835+1</f>
        <v/>
      </c>
      <c r="G2836" s="92">
        <f>EXP($C$12+$C$8*_xlfn.NORM.S.INV(RAND()))</f>
        <v/>
      </c>
    </row>
    <row r="2837">
      <c r="F2837">
        <f>F2836+1</f>
        <v/>
      </c>
      <c r="G2837" s="92">
        <f>EXP($C$12+$C$8*_xlfn.NORM.S.INV(RAND()))</f>
        <v/>
      </c>
    </row>
    <row r="2838">
      <c r="F2838">
        <f>F2837+1</f>
        <v/>
      </c>
      <c r="G2838" s="92">
        <f>EXP($C$12+$C$8*_xlfn.NORM.S.INV(RAND()))</f>
        <v/>
      </c>
    </row>
    <row r="2839">
      <c r="F2839">
        <f>F2838+1</f>
        <v/>
      </c>
      <c r="G2839" s="92">
        <f>EXP($C$12+$C$8*_xlfn.NORM.S.INV(RAND()))</f>
        <v/>
      </c>
    </row>
    <row r="2840">
      <c r="F2840">
        <f>F2839+1</f>
        <v/>
      </c>
      <c r="G2840" s="92">
        <f>EXP($C$12+$C$8*_xlfn.NORM.S.INV(RAND()))</f>
        <v/>
      </c>
    </row>
    <row r="2841">
      <c r="F2841">
        <f>F2840+1</f>
        <v/>
      </c>
      <c r="G2841" s="92">
        <f>EXP($C$12+$C$8*_xlfn.NORM.S.INV(RAND()))</f>
        <v/>
      </c>
    </row>
    <row r="2842">
      <c r="F2842">
        <f>F2841+1</f>
        <v/>
      </c>
      <c r="G2842" s="92">
        <f>EXP($C$12+$C$8*_xlfn.NORM.S.INV(RAND()))</f>
        <v/>
      </c>
    </row>
    <row r="2843">
      <c r="F2843">
        <f>F2842+1</f>
        <v/>
      </c>
      <c r="G2843" s="92">
        <f>EXP($C$12+$C$8*_xlfn.NORM.S.INV(RAND()))</f>
        <v/>
      </c>
    </row>
    <row r="2844">
      <c r="F2844">
        <f>F2843+1</f>
        <v/>
      </c>
      <c r="G2844" s="92">
        <f>EXP($C$12+$C$8*_xlfn.NORM.S.INV(RAND()))</f>
        <v/>
      </c>
    </row>
    <row r="2845">
      <c r="F2845">
        <f>F2844+1</f>
        <v/>
      </c>
      <c r="G2845" s="92">
        <f>EXP($C$12+$C$8*_xlfn.NORM.S.INV(RAND()))</f>
        <v/>
      </c>
    </row>
    <row r="2846">
      <c r="F2846">
        <f>F2845+1</f>
        <v/>
      </c>
      <c r="G2846" s="92">
        <f>EXP($C$12+$C$8*_xlfn.NORM.S.INV(RAND()))</f>
        <v/>
      </c>
    </row>
    <row r="2847">
      <c r="F2847">
        <f>F2846+1</f>
        <v/>
      </c>
      <c r="G2847" s="92">
        <f>EXP($C$12+$C$8*_xlfn.NORM.S.INV(RAND()))</f>
        <v/>
      </c>
    </row>
    <row r="2848">
      <c r="F2848">
        <f>F2847+1</f>
        <v/>
      </c>
      <c r="G2848" s="92">
        <f>EXP($C$12+$C$8*_xlfn.NORM.S.INV(RAND()))</f>
        <v/>
      </c>
    </row>
    <row r="2849">
      <c r="F2849">
        <f>F2848+1</f>
        <v/>
      </c>
      <c r="G2849" s="92">
        <f>EXP($C$12+$C$8*_xlfn.NORM.S.INV(RAND()))</f>
        <v/>
      </c>
    </row>
    <row r="2850">
      <c r="F2850">
        <f>F2849+1</f>
        <v/>
      </c>
      <c r="G2850" s="92">
        <f>EXP($C$12+$C$8*_xlfn.NORM.S.INV(RAND()))</f>
        <v/>
      </c>
    </row>
    <row r="2851">
      <c r="F2851">
        <f>F2850+1</f>
        <v/>
      </c>
      <c r="G2851" s="92">
        <f>EXP($C$12+$C$8*_xlfn.NORM.S.INV(RAND()))</f>
        <v/>
      </c>
    </row>
    <row r="2852">
      <c r="F2852">
        <f>F2851+1</f>
        <v/>
      </c>
      <c r="G2852" s="92">
        <f>EXP($C$12+$C$8*_xlfn.NORM.S.INV(RAND()))</f>
        <v/>
      </c>
    </row>
    <row r="2853">
      <c r="F2853">
        <f>F2852+1</f>
        <v/>
      </c>
      <c r="G2853" s="92">
        <f>EXP($C$12+$C$8*_xlfn.NORM.S.INV(RAND()))</f>
        <v/>
      </c>
    </row>
    <row r="2854">
      <c r="F2854">
        <f>F2853+1</f>
        <v/>
      </c>
      <c r="G2854" s="92">
        <f>EXP($C$12+$C$8*_xlfn.NORM.S.INV(RAND()))</f>
        <v/>
      </c>
    </row>
    <row r="2855">
      <c r="F2855">
        <f>F2854+1</f>
        <v/>
      </c>
      <c r="G2855" s="92">
        <f>EXP($C$12+$C$8*_xlfn.NORM.S.INV(RAND()))</f>
        <v/>
      </c>
    </row>
    <row r="2856">
      <c r="F2856">
        <f>F2855+1</f>
        <v/>
      </c>
      <c r="G2856" s="92">
        <f>EXP($C$12+$C$8*_xlfn.NORM.S.INV(RAND()))</f>
        <v/>
      </c>
    </row>
    <row r="2857">
      <c r="F2857">
        <f>F2856+1</f>
        <v/>
      </c>
      <c r="G2857" s="92">
        <f>EXP($C$12+$C$8*_xlfn.NORM.S.INV(RAND()))</f>
        <v/>
      </c>
    </row>
    <row r="2858">
      <c r="F2858">
        <f>F2857+1</f>
        <v/>
      </c>
      <c r="G2858" s="92">
        <f>EXP($C$12+$C$8*_xlfn.NORM.S.INV(RAND()))</f>
        <v/>
      </c>
    </row>
    <row r="2859">
      <c r="F2859">
        <f>F2858+1</f>
        <v/>
      </c>
      <c r="G2859" s="92">
        <f>EXP($C$12+$C$8*_xlfn.NORM.S.INV(RAND()))</f>
        <v/>
      </c>
    </row>
    <row r="2860">
      <c r="F2860">
        <f>F2859+1</f>
        <v/>
      </c>
      <c r="G2860" s="92">
        <f>EXP($C$12+$C$8*_xlfn.NORM.S.INV(RAND()))</f>
        <v/>
      </c>
    </row>
    <row r="2861">
      <c r="F2861">
        <f>F2860+1</f>
        <v/>
      </c>
      <c r="G2861" s="92">
        <f>EXP($C$12+$C$8*_xlfn.NORM.S.INV(RAND()))</f>
        <v/>
      </c>
    </row>
    <row r="2862">
      <c r="F2862">
        <f>F2861+1</f>
        <v/>
      </c>
      <c r="G2862" s="92">
        <f>EXP($C$12+$C$8*_xlfn.NORM.S.INV(RAND()))</f>
        <v/>
      </c>
    </row>
    <row r="2863">
      <c r="F2863">
        <f>F2862+1</f>
        <v/>
      </c>
      <c r="G2863" s="92">
        <f>EXP($C$12+$C$8*_xlfn.NORM.S.INV(RAND()))</f>
        <v/>
      </c>
    </row>
    <row r="2864">
      <c r="F2864">
        <f>F2863+1</f>
        <v/>
      </c>
      <c r="G2864" s="92">
        <f>EXP($C$12+$C$8*_xlfn.NORM.S.INV(RAND()))</f>
        <v/>
      </c>
    </row>
    <row r="2865">
      <c r="F2865">
        <f>F2864+1</f>
        <v/>
      </c>
      <c r="G2865" s="92">
        <f>EXP($C$12+$C$8*_xlfn.NORM.S.INV(RAND()))</f>
        <v/>
      </c>
    </row>
    <row r="2866">
      <c r="F2866">
        <f>F2865+1</f>
        <v/>
      </c>
      <c r="G2866" s="92">
        <f>EXP($C$12+$C$8*_xlfn.NORM.S.INV(RAND()))</f>
        <v/>
      </c>
    </row>
    <row r="2867">
      <c r="F2867">
        <f>F2866+1</f>
        <v/>
      </c>
      <c r="G2867" s="92">
        <f>EXP($C$12+$C$8*_xlfn.NORM.S.INV(RAND()))</f>
        <v/>
      </c>
    </row>
    <row r="2868">
      <c r="F2868">
        <f>F2867+1</f>
        <v/>
      </c>
      <c r="G2868" s="92">
        <f>EXP($C$12+$C$8*_xlfn.NORM.S.INV(RAND()))</f>
        <v/>
      </c>
    </row>
    <row r="2869">
      <c r="F2869">
        <f>F2868+1</f>
        <v/>
      </c>
      <c r="G2869" s="92">
        <f>EXP($C$12+$C$8*_xlfn.NORM.S.INV(RAND()))</f>
        <v/>
      </c>
    </row>
    <row r="2870">
      <c r="F2870">
        <f>F2869+1</f>
        <v/>
      </c>
      <c r="G2870" s="92">
        <f>EXP($C$12+$C$8*_xlfn.NORM.S.INV(RAND()))</f>
        <v/>
      </c>
    </row>
    <row r="2871">
      <c r="F2871">
        <f>F2870+1</f>
        <v/>
      </c>
      <c r="G2871" s="92">
        <f>EXP($C$12+$C$8*_xlfn.NORM.S.INV(RAND()))</f>
        <v/>
      </c>
    </row>
    <row r="2872">
      <c r="F2872">
        <f>F2871+1</f>
        <v/>
      </c>
      <c r="G2872" s="92">
        <f>EXP($C$12+$C$8*_xlfn.NORM.S.INV(RAND()))</f>
        <v/>
      </c>
    </row>
    <row r="2873">
      <c r="F2873">
        <f>F2872+1</f>
        <v/>
      </c>
      <c r="G2873" s="92">
        <f>EXP($C$12+$C$8*_xlfn.NORM.S.INV(RAND()))</f>
        <v/>
      </c>
    </row>
    <row r="2874">
      <c r="F2874">
        <f>F2873+1</f>
        <v/>
      </c>
      <c r="G2874" s="92">
        <f>EXP($C$12+$C$8*_xlfn.NORM.S.INV(RAND()))</f>
        <v/>
      </c>
    </row>
    <row r="2875">
      <c r="F2875">
        <f>F2874+1</f>
        <v/>
      </c>
      <c r="G2875" s="92">
        <f>EXP($C$12+$C$8*_xlfn.NORM.S.INV(RAND()))</f>
        <v/>
      </c>
    </row>
    <row r="2876">
      <c r="F2876">
        <f>F2875+1</f>
        <v/>
      </c>
      <c r="G2876" s="92">
        <f>EXP($C$12+$C$8*_xlfn.NORM.S.INV(RAND()))</f>
        <v/>
      </c>
    </row>
    <row r="2877">
      <c r="F2877">
        <f>F2876+1</f>
        <v/>
      </c>
      <c r="G2877" s="92">
        <f>EXP($C$12+$C$8*_xlfn.NORM.S.INV(RAND()))</f>
        <v/>
      </c>
    </row>
    <row r="2878">
      <c r="F2878">
        <f>F2877+1</f>
        <v/>
      </c>
      <c r="G2878" s="92">
        <f>EXP($C$12+$C$8*_xlfn.NORM.S.INV(RAND()))</f>
        <v/>
      </c>
    </row>
    <row r="2879">
      <c r="F2879">
        <f>F2878+1</f>
        <v/>
      </c>
      <c r="G2879" s="92">
        <f>EXP($C$12+$C$8*_xlfn.NORM.S.INV(RAND()))</f>
        <v/>
      </c>
    </row>
    <row r="2880">
      <c r="F2880">
        <f>F2879+1</f>
        <v/>
      </c>
      <c r="G2880" s="92">
        <f>EXP($C$12+$C$8*_xlfn.NORM.S.INV(RAND()))</f>
        <v/>
      </c>
    </row>
    <row r="2881">
      <c r="F2881">
        <f>F2880+1</f>
        <v/>
      </c>
      <c r="G2881" s="92">
        <f>EXP($C$12+$C$8*_xlfn.NORM.S.INV(RAND()))</f>
        <v/>
      </c>
    </row>
    <row r="2882">
      <c r="F2882">
        <f>F2881+1</f>
        <v/>
      </c>
      <c r="G2882" s="92">
        <f>EXP($C$12+$C$8*_xlfn.NORM.S.INV(RAND()))</f>
        <v/>
      </c>
    </row>
    <row r="2883">
      <c r="F2883">
        <f>F2882+1</f>
        <v/>
      </c>
      <c r="G2883" s="92">
        <f>EXP($C$12+$C$8*_xlfn.NORM.S.INV(RAND()))</f>
        <v/>
      </c>
    </row>
    <row r="2884">
      <c r="F2884">
        <f>F2883+1</f>
        <v/>
      </c>
      <c r="G2884" s="92">
        <f>EXP($C$12+$C$8*_xlfn.NORM.S.INV(RAND()))</f>
        <v/>
      </c>
    </row>
    <row r="2885">
      <c r="F2885">
        <f>F2884+1</f>
        <v/>
      </c>
      <c r="G2885" s="92">
        <f>EXP($C$12+$C$8*_xlfn.NORM.S.INV(RAND()))</f>
        <v/>
      </c>
    </row>
    <row r="2886">
      <c r="F2886">
        <f>F2885+1</f>
        <v/>
      </c>
      <c r="G2886" s="92">
        <f>EXP($C$12+$C$8*_xlfn.NORM.S.INV(RAND()))</f>
        <v/>
      </c>
    </row>
    <row r="2887">
      <c r="F2887">
        <f>F2886+1</f>
        <v/>
      </c>
      <c r="G2887" s="92">
        <f>EXP($C$12+$C$8*_xlfn.NORM.S.INV(RAND()))</f>
        <v/>
      </c>
    </row>
    <row r="2888">
      <c r="F2888">
        <f>F2887+1</f>
        <v/>
      </c>
      <c r="G2888" s="92">
        <f>EXP($C$12+$C$8*_xlfn.NORM.S.INV(RAND()))</f>
        <v/>
      </c>
    </row>
    <row r="2889">
      <c r="F2889">
        <f>F2888+1</f>
        <v/>
      </c>
      <c r="G2889" s="92">
        <f>EXP($C$12+$C$8*_xlfn.NORM.S.INV(RAND()))</f>
        <v/>
      </c>
    </row>
    <row r="2890">
      <c r="F2890">
        <f>F2889+1</f>
        <v/>
      </c>
      <c r="G2890" s="92">
        <f>EXP($C$12+$C$8*_xlfn.NORM.S.INV(RAND()))</f>
        <v/>
      </c>
    </row>
    <row r="2891">
      <c r="F2891">
        <f>F2890+1</f>
        <v/>
      </c>
      <c r="G2891" s="92">
        <f>EXP($C$12+$C$8*_xlfn.NORM.S.INV(RAND()))</f>
        <v/>
      </c>
    </row>
    <row r="2892">
      <c r="F2892">
        <f>F2891+1</f>
        <v/>
      </c>
      <c r="G2892" s="92">
        <f>EXP($C$12+$C$8*_xlfn.NORM.S.INV(RAND()))</f>
        <v/>
      </c>
    </row>
    <row r="2893">
      <c r="F2893">
        <f>F2892+1</f>
        <v/>
      </c>
      <c r="G2893" s="92">
        <f>EXP($C$12+$C$8*_xlfn.NORM.S.INV(RAND()))</f>
        <v/>
      </c>
    </row>
    <row r="2894">
      <c r="F2894">
        <f>F2893+1</f>
        <v/>
      </c>
      <c r="G2894" s="92">
        <f>EXP($C$12+$C$8*_xlfn.NORM.S.INV(RAND()))</f>
        <v/>
      </c>
    </row>
    <row r="2895">
      <c r="F2895">
        <f>F2894+1</f>
        <v/>
      </c>
      <c r="G2895" s="92">
        <f>EXP($C$12+$C$8*_xlfn.NORM.S.INV(RAND()))</f>
        <v/>
      </c>
    </row>
    <row r="2896">
      <c r="F2896">
        <f>F2895+1</f>
        <v/>
      </c>
      <c r="G2896" s="92">
        <f>EXP($C$12+$C$8*_xlfn.NORM.S.INV(RAND()))</f>
        <v/>
      </c>
    </row>
    <row r="2897">
      <c r="F2897">
        <f>F2896+1</f>
        <v/>
      </c>
      <c r="G2897" s="92">
        <f>EXP($C$12+$C$8*_xlfn.NORM.S.INV(RAND()))</f>
        <v/>
      </c>
    </row>
    <row r="2898">
      <c r="F2898">
        <f>F2897+1</f>
        <v/>
      </c>
      <c r="G2898" s="92">
        <f>EXP($C$12+$C$8*_xlfn.NORM.S.INV(RAND()))</f>
        <v/>
      </c>
    </row>
    <row r="2899">
      <c r="F2899">
        <f>F2898+1</f>
        <v/>
      </c>
      <c r="G2899" s="92">
        <f>EXP($C$12+$C$8*_xlfn.NORM.S.INV(RAND()))</f>
        <v/>
      </c>
    </row>
    <row r="2900">
      <c r="F2900">
        <f>F2899+1</f>
        <v/>
      </c>
      <c r="G2900" s="92">
        <f>EXP($C$12+$C$8*_xlfn.NORM.S.INV(RAND()))</f>
        <v/>
      </c>
    </row>
    <row r="2901">
      <c r="F2901">
        <f>F2900+1</f>
        <v/>
      </c>
      <c r="G2901" s="92">
        <f>EXP($C$12+$C$8*_xlfn.NORM.S.INV(RAND()))</f>
        <v/>
      </c>
    </row>
    <row r="2902">
      <c r="F2902">
        <f>F2901+1</f>
        <v/>
      </c>
      <c r="G2902" s="92">
        <f>EXP($C$12+$C$8*_xlfn.NORM.S.INV(RAND()))</f>
        <v/>
      </c>
    </row>
    <row r="2903">
      <c r="F2903">
        <f>F2902+1</f>
        <v/>
      </c>
      <c r="G2903" s="92">
        <f>EXP($C$12+$C$8*_xlfn.NORM.S.INV(RAND()))</f>
        <v/>
      </c>
    </row>
    <row r="2904">
      <c r="F2904">
        <f>F2903+1</f>
        <v/>
      </c>
      <c r="G2904" s="92">
        <f>EXP($C$12+$C$8*_xlfn.NORM.S.INV(RAND()))</f>
        <v/>
      </c>
    </row>
    <row r="2905">
      <c r="F2905">
        <f>F2904+1</f>
        <v/>
      </c>
      <c r="G2905" s="92">
        <f>EXP($C$12+$C$8*_xlfn.NORM.S.INV(RAND()))</f>
        <v/>
      </c>
    </row>
    <row r="2906">
      <c r="F2906">
        <f>F2905+1</f>
        <v/>
      </c>
      <c r="G2906" s="92">
        <f>EXP($C$12+$C$8*_xlfn.NORM.S.INV(RAND()))</f>
        <v/>
      </c>
    </row>
    <row r="2907">
      <c r="F2907">
        <f>F2906+1</f>
        <v/>
      </c>
      <c r="G2907" s="92">
        <f>EXP($C$12+$C$8*_xlfn.NORM.S.INV(RAND()))</f>
        <v/>
      </c>
    </row>
    <row r="2908">
      <c r="F2908">
        <f>F2907+1</f>
        <v/>
      </c>
      <c r="G2908" s="92">
        <f>EXP($C$12+$C$8*_xlfn.NORM.S.INV(RAND()))</f>
        <v/>
      </c>
    </row>
    <row r="2909">
      <c r="F2909">
        <f>F2908+1</f>
        <v/>
      </c>
      <c r="G2909" s="92">
        <f>EXP($C$12+$C$8*_xlfn.NORM.S.INV(RAND()))</f>
        <v/>
      </c>
    </row>
    <row r="2910">
      <c r="F2910">
        <f>F2909+1</f>
        <v/>
      </c>
      <c r="G2910" s="92">
        <f>EXP($C$12+$C$8*_xlfn.NORM.S.INV(RAND()))</f>
        <v/>
      </c>
    </row>
    <row r="2911">
      <c r="F2911">
        <f>F2910+1</f>
        <v/>
      </c>
      <c r="G2911" s="92">
        <f>EXP($C$12+$C$8*_xlfn.NORM.S.INV(RAND()))</f>
        <v/>
      </c>
    </row>
    <row r="2912">
      <c r="F2912">
        <f>F2911+1</f>
        <v/>
      </c>
      <c r="G2912" s="92">
        <f>EXP($C$12+$C$8*_xlfn.NORM.S.INV(RAND()))</f>
        <v/>
      </c>
    </row>
    <row r="2913">
      <c r="F2913">
        <f>F2912+1</f>
        <v/>
      </c>
      <c r="G2913" s="92">
        <f>EXP($C$12+$C$8*_xlfn.NORM.S.INV(RAND()))</f>
        <v/>
      </c>
    </row>
    <row r="2914">
      <c r="F2914">
        <f>F2913+1</f>
        <v/>
      </c>
      <c r="G2914" s="92">
        <f>EXP($C$12+$C$8*_xlfn.NORM.S.INV(RAND()))</f>
        <v/>
      </c>
    </row>
    <row r="2915">
      <c r="F2915">
        <f>F2914+1</f>
        <v/>
      </c>
      <c r="G2915" s="92">
        <f>EXP($C$12+$C$8*_xlfn.NORM.S.INV(RAND()))</f>
        <v/>
      </c>
    </row>
    <row r="2916">
      <c r="F2916">
        <f>F2915+1</f>
        <v/>
      </c>
      <c r="G2916" s="92">
        <f>EXP($C$12+$C$8*_xlfn.NORM.S.INV(RAND()))</f>
        <v/>
      </c>
    </row>
    <row r="2917">
      <c r="F2917">
        <f>F2916+1</f>
        <v/>
      </c>
      <c r="G2917" s="92">
        <f>EXP($C$12+$C$8*_xlfn.NORM.S.INV(RAND()))</f>
        <v/>
      </c>
    </row>
    <row r="2918">
      <c r="F2918">
        <f>F2917+1</f>
        <v/>
      </c>
      <c r="G2918" s="92">
        <f>EXP($C$12+$C$8*_xlfn.NORM.S.INV(RAND()))</f>
        <v/>
      </c>
    </row>
    <row r="2919">
      <c r="F2919">
        <f>F2918+1</f>
        <v/>
      </c>
      <c r="G2919" s="92">
        <f>EXP($C$12+$C$8*_xlfn.NORM.S.INV(RAND()))</f>
        <v/>
      </c>
    </row>
    <row r="2920">
      <c r="F2920">
        <f>F2919+1</f>
        <v/>
      </c>
      <c r="G2920" s="92">
        <f>EXP($C$12+$C$8*_xlfn.NORM.S.INV(RAND()))</f>
        <v/>
      </c>
    </row>
    <row r="2921">
      <c r="F2921">
        <f>F2920+1</f>
        <v/>
      </c>
      <c r="G2921" s="92">
        <f>EXP($C$12+$C$8*_xlfn.NORM.S.INV(RAND()))</f>
        <v/>
      </c>
    </row>
    <row r="2922">
      <c r="F2922">
        <f>F2921+1</f>
        <v/>
      </c>
      <c r="G2922" s="92">
        <f>EXP($C$12+$C$8*_xlfn.NORM.S.INV(RAND()))</f>
        <v/>
      </c>
    </row>
    <row r="2923">
      <c r="F2923">
        <f>F2922+1</f>
        <v/>
      </c>
      <c r="G2923" s="92">
        <f>EXP($C$12+$C$8*_xlfn.NORM.S.INV(RAND()))</f>
        <v/>
      </c>
    </row>
    <row r="2924">
      <c r="F2924">
        <f>F2923+1</f>
        <v/>
      </c>
      <c r="G2924" s="92">
        <f>EXP($C$12+$C$8*_xlfn.NORM.S.INV(RAND()))</f>
        <v/>
      </c>
    </row>
    <row r="2925">
      <c r="F2925">
        <f>F2924+1</f>
        <v/>
      </c>
      <c r="G2925" s="92">
        <f>EXP($C$12+$C$8*_xlfn.NORM.S.INV(RAND()))</f>
        <v/>
      </c>
    </row>
    <row r="2926">
      <c r="F2926">
        <f>F2925+1</f>
        <v/>
      </c>
      <c r="G2926" s="92">
        <f>EXP($C$12+$C$8*_xlfn.NORM.S.INV(RAND()))</f>
        <v/>
      </c>
    </row>
    <row r="2927">
      <c r="F2927">
        <f>F2926+1</f>
        <v/>
      </c>
      <c r="G2927" s="92">
        <f>EXP($C$12+$C$8*_xlfn.NORM.S.INV(RAND()))</f>
        <v/>
      </c>
    </row>
    <row r="2928">
      <c r="F2928">
        <f>F2927+1</f>
        <v/>
      </c>
      <c r="G2928" s="92">
        <f>EXP($C$12+$C$8*_xlfn.NORM.S.INV(RAND()))</f>
        <v/>
      </c>
    </row>
    <row r="2929">
      <c r="F2929">
        <f>F2928+1</f>
        <v/>
      </c>
      <c r="G2929" s="92">
        <f>EXP($C$12+$C$8*_xlfn.NORM.S.INV(RAND()))</f>
        <v/>
      </c>
    </row>
    <row r="2930">
      <c r="F2930">
        <f>F2929+1</f>
        <v/>
      </c>
      <c r="G2930" s="92">
        <f>EXP($C$12+$C$8*_xlfn.NORM.S.INV(RAND()))</f>
        <v/>
      </c>
    </row>
    <row r="2931">
      <c r="F2931">
        <f>F2930+1</f>
        <v/>
      </c>
      <c r="G2931" s="92">
        <f>EXP($C$12+$C$8*_xlfn.NORM.S.INV(RAND()))</f>
        <v/>
      </c>
    </row>
    <row r="2932">
      <c r="F2932">
        <f>F2931+1</f>
        <v/>
      </c>
      <c r="G2932" s="92">
        <f>EXP($C$12+$C$8*_xlfn.NORM.S.INV(RAND()))</f>
        <v/>
      </c>
    </row>
    <row r="2933">
      <c r="F2933">
        <f>F2932+1</f>
        <v/>
      </c>
      <c r="G2933" s="92">
        <f>EXP($C$12+$C$8*_xlfn.NORM.S.INV(RAND()))</f>
        <v/>
      </c>
    </row>
    <row r="2934">
      <c r="F2934">
        <f>F2933+1</f>
        <v/>
      </c>
      <c r="G2934" s="92">
        <f>EXP($C$12+$C$8*_xlfn.NORM.S.INV(RAND()))</f>
        <v/>
      </c>
    </row>
    <row r="2935">
      <c r="F2935">
        <f>F2934+1</f>
        <v/>
      </c>
      <c r="G2935" s="92">
        <f>EXP($C$12+$C$8*_xlfn.NORM.S.INV(RAND()))</f>
        <v/>
      </c>
    </row>
    <row r="2936">
      <c r="F2936">
        <f>F2935+1</f>
        <v/>
      </c>
      <c r="G2936" s="92">
        <f>EXP($C$12+$C$8*_xlfn.NORM.S.INV(RAND()))</f>
        <v/>
      </c>
    </row>
    <row r="2937">
      <c r="F2937">
        <f>F2936+1</f>
        <v/>
      </c>
      <c r="G2937" s="92">
        <f>EXP($C$12+$C$8*_xlfn.NORM.S.INV(RAND()))</f>
        <v/>
      </c>
    </row>
    <row r="2938">
      <c r="F2938">
        <f>F2937+1</f>
        <v/>
      </c>
      <c r="G2938" s="92">
        <f>EXP($C$12+$C$8*_xlfn.NORM.S.INV(RAND()))</f>
        <v/>
      </c>
    </row>
    <row r="2939">
      <c r="F2939">
        <f>F2938+1</f>
        <v/>
      </c>
      <c r="G2939" s="92">
        <f>EXP($C$12+$C$8*_xlfn.NORM.S.INV(RAND()))</f>
        <v/>
      </c>
    </row>
    <row r="2940">
      <c r="F2940">
        <f>F2939+1</f>
        <v/>
      </c>
      <c r="G2940" s="92">
        <f>EXP($C$12+$C$8*_xlfn.NORM.S.INV(RAND()))</f>
        <v/>
      </c>
    </row>
    <row r="2941">
      <c r="F2941">
        <f>F2940+1</f>
        <v/>
      </c>
      <c r="G2941" s="92">
        <f>EXP($C$12+$C$8*_xlfn.NORM.S.INV(RAND()))</f>
        <v/>
      </c>
    </row>
    <row r="2942">
      <c r="F2942">
        <f>F2941+1</f>
        <v/>
      </c>
      <c r="G2942" s="92">
        <f>EXP($C$12+$C$8*_xlfn.NORM.S.INV(RAND()))</f>
        <v/>
      </c>
    </row>
    <row r="2943">
      <c r="F2943">
        <f>F2942+1</f>
        <v/>
      </c>
      <c r="G2943" s="92">
        <f>EXP($C$12+$C$8*_xlfn.NORM.S.INV(RAND()))</f>
        <v/>
      </c>
    </row>
    <row r="2944">
      <c r="F2944">
        <f>F2943+1</f>
        <v/>
      </c>
      <c r="G2944" s="92">
        <f>EXP($C$12+$C$8*_xlfn.NORM.S.INV(RAND()))</f>
        <v/>
      </c>
    </row>
    <row r="2945">
      <c r="F2945">
        <f>F2944+1</f>
        <v/>
      </c>
      <c r="G2945" s="92">
        <f>EXP($C$12+$C$8*_xlfn.NORM.S.INV(RAND()))</f>
        <v/>
      </c>
    </row>
    <row r="2946">
      <c r="F2946">
        <f>F2945+1</f>
        <v/>
      </c>
      <c r="G2946" s="92">
        <f>EXP($C$12+$C$8*_xlfn.NORM.S.INV(RAND()))</f>
        <v/>
      </c>
    </row>
    <row r="2947">
      <c r="F2947">
        <f>F2946+1</f>
        <v/>
      </c>
      <c r="G2947" s="92">
        <f>EXP($C$12+$C$8*_xlfn.NORM.S.INV(RAND()))</f>
        <v/>
      </c>
    </row>
    <row r="2948">
      <c r="F2948">
        <f>F2947+1</f>
        <v/>
      </c>
      <c r="G2948" s="92">
        <f>EXP($C$12+$C$8*_xlfn.NORM.S.INV(RAND()))</f>
        <v/>
      </c>
    </row>
    <row r="2949">
      <c r="F2949">
        <f>F2948+1</f>
        <v/>
      </c>
      <c r="G2949" s="92">
        <f>EXP($C$12+$C$8*_xlfn.NORM.S.INV(RAND()))</f>
        <v/>
      </c>
    </row>
    <row r="2950">
      <c r="F2950">
        <f>F2949+1</f>
        <v/>
      </c>
      <c r="G2950" s="92">
        <f>EXP($C$12+$C$8*_xlfn.NORM.S.INV(RAND()))</f>
        <v/>
      </c>
    </row>
    <row r="2951">
      <c r="F2951">
        <f>F2950+1</f>
        <v/>
      </c>
      <c r="G2951" s="92">
        <f>EXP($C$12+$C$8*_xlfn.NORM.S.INV(RAND()))</f>
        <v/>
      </c>
    </row>
    <row r="2952">
      <c r="F2952">
        <f>F2951+1</f>
        <v/>
      </c>
      <c r="G2952" s="92">
        <f>EXP($C$12+$C$8*_xlfn.NORM.S.INV(RAND()))</f>
        <v/>
      </c>
    </row>
    <row r="2953">
      <c r="F2953">
        <f>F2952+1</f>
        <v/>
      </c>
      <c r="G2953" s="92">
        <f>EXP($C$12+$C$8*_xlfn.NORM.S.INV(RAND()))</f>
        <v/>
      </c>
    </row>
    <row r="2954">
      <c r="F2954">
        <f>F2953+1</f>
        <v/>
      </c>
      <c r="G2954" s="92">
        <f>EXP($C$12+$C$8*_xlfn.NORM.S.INV(RAND()))</f>
        <v/>
      </c>
    </row>
    <row r="2955">
      <c r="F2955">
        <f>F2954+1</f>
        <v/>
      </c>
      <c r="G2955" s="92">
        <f>EXP($C$12+$C$8*_xlfn.NORM.S.INV(RAND()))</f>
        <v/>
      </c>
    </row>
    <row r="2956">
      <c r="F2956">
        <f>F2955+1</f>
        <v/>
      </c>
      <c r="G2956" s="92">
        <f>EXP($C$12+$C$8*_xlfn.NORM.S.INV(RAND()))</f>
        <v/>
      </c>
    </row>
    <row r="2957">
      <c r="F2957">
        <f>F2956+1</f>
        <v/>
      </c>
      <c r="G2957" s="92">
        <f>EXP($C$12+$C$8*_xlfn.NORM.S.INV(RAND()))</f>
        <v/>
      </c>
    </row>
    <row r="2958">
      <c r="F2958">
        <f>F2957+1</f>
        <v/>
      </c>
      <c r="G2958" s="92">
        <f>EXP($C$12+$C$8*_xlfn.NORM.S.INV(RAND()))</f>
        <v/>
      </c>
    </row>
    <row r="2959">
      <c r="F2959">
        <f>F2958+1</f>
        <v/>
      </c>
      <c r="G2959" s="92">
        <f>EXP($C$12+$C$8*_xlfn.NORM.S.INV(RAND()))</f>
        <v/>
      </c>
    </row>
    <row r="2960">
      <c r="F2960">
        <f>F2959+1</f>
        <v/>
      </c>
      <c r="G2960" s="92">
        <f>EXP($C$12+$C$8*_xlfn.NORM.S.INV(RAND()))</f>
        <v/>
      </c>
    </row>
    <row r="2961">
      <c r="F2961">
        <f>F2960+1</f>
        <v/>
      </c>
      <c r="G2961" s="92">
        <f>EXP($C$12+$C$8*_xlfn.NORM.S.INV(RAND()))</f>
        <v/>
      </c>
    </row>
    <row r="2962">
      <c r="F2962">
        <f>F2961+1</f>
        <v/>
      </c>
      <c r="G2962" s="92">
        <f>EXP($C$12+$C$8*_xlfn.NORM.S.INV(RAND()))</f>
        <v/>
      </c>
    </row>
    <row r="2963">
      <c r="F2963">
        <f>F2962+1</f>
        <v/>
      </c>
      <c r="G2963" s="92">
        <f>EXP($C$12+$C$8*_xlfn.NORM.S.INV(RAND()))</f>
        <v/>
      </c>
    </row>
    <row r="2964">
      <c r="F2964">
        <f>F2963+1</f>
        <v/>
      </c>
      <c r="G2964" s="92">
        <f>EXP($C$12+$C$8*_xlfn.NORM.S.INV(RAND()))</f>
        <v/>
      </c>
    </row>
    <row r="2965">
      <c r="F2965">
        <f>F2964+1</f>
        <v/>
      </c>
      <c r="G2965" s="92">
        <f>EXP($C$12+$C$8*_xlfn.NORM.S.INV(RAND()))</f>
        <v/>
      </c>
    </row>
    <row r="2966">
      <c r="F2966">
        <f>F2965+1</f>
        <v/>
      </c>
      <c r="G2966" s="92">
        <f>EXP($C$12+$C$8*_xlfn.NORM.S.INV(RAND()))</f>
        <v/>
      </c>
    </row>
    <row r="2967">
      <c r="F2967">
        <f>F2966+1</f>
        <v/>
      </c>
      <c r="G2967" s="92">
        <f>EXP($C$12+$C$8*_xlfn.NORM.S.INV(RAND()))</f>
        <v/>
      </c>
    </row>
    <row r="2968">
      <c r="F2968">
        <f>F2967+1</f>
        <v/>
      </c>
      <c r="G2968" s="92">
        <f>EXP($C$12+$C$8*_xlfn.NORM.S.INV(RAND()))</f>
        <v/>
      </c>
    </row>
    <row r="2969">
      <c r="F2969">
        <f>F2968+1</f>
        <v/>
      </c>
      <c r="G2969" s="92">
        <f>EXP($C$12+$C$8*_xlfn.NORM.S.INV(RAND()))</f>
        <v/>
      </c>
    </row>
    <row r="2970">
      <c r="F2970">
        <f>F2969+1</f>
        <v/>
      </c>
      <c r="G2970" s="92">
        <f>EXP($C$12+$C$8*_xlfn.NORM.S.INV(RAND()))</f>
        <v/>
      </c>
    </row>
    <row r="2971">
      <c r="F2971">
        <f>F2970+1</f>
        <v/>
      </c>
      <c r="G2971" s="92">
        <f>EXP($C$12+$C$8*_xlfn.NORM.S.INV(RAND()))</f>
        <v/>
      </c>
    </row>
    <row r="2972">
      <c r="F2972">
        <f>F2971+1</f>
        <v/>
      </c>
      <c r="G2972" s="92">
        <f>EXP($C$12+$C$8*_xlfn.NORM.S.INV(RAND()))</f>
        <v/>
      </c>
    </row>
    <row r="2973">
      <c r="F2973">
        <f>F2972+1</f>
        <v/>
      </c>
      <c r="G2973" s="92">
        <f>EXP($C$12+$C$8*_xlfn.NORM.S.INV(RAND()))</f>
        <v/>
      </c>
    </row>
    <row r="2974">
      <c r="F2974">
        <f>F2973+1</f>
        <v/>
      </c>
      <c r="G2974" s="92">
        <f>EXP($C$12+$C$8*_xlfn.NORM.S.INV(RAND()))</f>
        <v/>
      </c>
    </row>
    <row r="2975">
      <c r="F2975">
        <f>F2974+1</f>
        <v/>
      </c>
      <c r="G2975" s="92">
        <f>EXP($C$12+$C$8*_xlfn.NORM.S.INV(RAND()))</f>
        <v/>
      </c>
    </row>
    <row r="2976">
      <c r="F2976">
        <f>F2975+1</f>
        <v/>
      </c>
      <c r="G2976" s="92">
        <f>EXP($C$12+$C$8*_xlfn.NORM.S.INV(RAND()))</f>
        <v/>
      </c>
    </row>
    <row r="2977">
      <c r="F2977">
        <f>F2976+1</f>
        <v/>
      </c>
      <c r="G2977" s="92">
        <f>EXP($C$12+$C$8*_xlfn.NORM.S.INV(RAND()))</f>
        <v/>
      </c>
    </row>
    <row r="2978">
      <c r="F2978">
        <f>F2977+1</f>
        <v/>
      </c>
      <c r="G2978" s="92">
        <f>EXP($C$12+$C$8*_xlfn.NORM.S.INV(RAND()))</f>
        <v/>
      </c>
    </row>
    <row r="2979">
      <c r="F2979">
        <f>F2978+1</f>
        <v/>
      </c>
      <c r="G2979" s="92">
        <f>EXP($C$12+$C$8*_xlfn.NORM.S.INV(RAND()))</f>
        <v/>
      </c>
    </row>
    <row r="2980">
      <c r="F2980">
        <f>F2979+1</f>
        <v/>
      </c>
      <c r="G2980" s="92">
        <f>EXP($C$12+$C$8*_xlfn.NORM.S.INV(RAND()))</f>
        <v/>
      </c>
    </row>
    <row r="2981">
      <c r="F2981">
        <f>F2980+1</f>
        <v/>
      </c>
      <c r="G2981" s="92">
        <f>EXP($C$12+$C$8*_xlfn.NORM.S.INV(RAND()))</f>
        <v/>
      </c>
    </row>
    <row r="2982">
      <c r="F2982">
        <f>F2981+1</f>
        <v/>
      </c>
      <c r="G2982" s="92">
        <f>EXP($C$12+$C$8*_xlfn.NORM.S.INV(RAND()))</f>
        <v/>
      </c>
    </row>
    <row r="2983">
      <c r="F2983">
        <f>F2982+1</f>
        <v/>
      </c>
      <c r="G2983" s="92">
        <f>EXP($C$12+$C$8*_xlfn.NORM.S.INV(RAND()))</f>
        <v/>
      </c>
    </row>
    <row r="2984">
      <c r="F2984">
        <f>F2983+1</f>
        <v/>
      </c>
      <c r="G2984" s="92">
        <f>EXP($C$12+$C$8*_xlfn.NORM.S.INV(RAND()))</f>
        <v/>
      </c>
    </row>
    <row r="2985">
      <c r="F2985">
        <f>F2984+1</f>
        <v/>
      </c>
      <c r="G2985" s="92">
        <f>EXP($C$12+$C$8*_xlfn.NORM.S.INV(RAND()))</f>
        <v/>
      </c>
    </row>
    <row r="2986">
      <c r="F2986">
        <f>F2985+1</f>
        <v/>
      </c>
      <c r="G2986" s="92">
        <f>EXP($C$12+$C$8*_xlfn.NORM.S.INV(RAND()))</f>
        <v/>
      </c>
    </row>
    <row r="2987">
      <c r="F2987">
        <f>F2986+1</f>
        <v/>
      </c>
      <c r="G2987" s="92">
        <f>EXP($C$12+$C$8*_xlfn.NORM.S.INV(RAND()))</f>
        <v/>
      </c>
    </row>
    <row r="2988">
      <c r="F2988">
        <f>F2987+1</f>
        <v/>
      </c>
      <c r="G2988" s="92">
        <f>EXP($C$12+$C$8*_xlfn.NORM.S.INV(RAND()))</f>
        <v/>
      </c>
    </row>
    <row r="2989">
      <c r="F2989">
        <f>F2988+1</f>
        <v/>
      </c>
      <c r="G2989" s="92">
        <f>EXP($C$12+$C$8*_xlfn.NORM.S.INV(RAND()))</f>
        <v/>
      </c>
    </row>
    <row r="2990">
      <c r="F2990">
        <f>F2989+1</f>
        <v/>
      </c>
      <c r="G2990" s="92">
        <f>EXP($C$12+$C$8*_xlfn.NORM.S.INV(RAND()))</f>
        <v/>
      </c>
    </row>
    <row r="2991">
      <c r="F2991">
        <f>F2990+1</f>
        <v/>
      </c>
      <c r="G2991" s="92">
        <f>EXP($C$12+$C$8*_xlfn.NORM.S.INV(RAND()))</f>
        <v/>
      </c>
    </row>
    <row r="2992">
      <c r="F2992">
        <f>F2991+1</f>
        <v/>
      </c>
      <c r="G2992" s="92">
        <f>EXP($C$12+$C$8*_xlfn.NORM.S.INV(RAND()))</f>
        <v/>
      </c>
    </row>
    <row r="2993">
      <c r="F2993">
        <f>F2992+1</f>
        <v/>
      </c>
      <c r="G2993" s="92">
        <f>EXP($C$12+$C$8*_xlfn.NORM.S.INV(RAND()))</f>
        <v/>
      </c>
    </row>
    <row r="2994">
      <c r="F2994">
        <f>F2993+1</f>
        <v/>
      </c>
      <c r="G2994" s="92">
        <f>EXP($C$12+$C$8*_xlfn.NORM.S.INV(RAND()))</f>
        <v/>
      </c>
    </row>
    <row r="2995">
      <c r="F2995">
        <f>F2994+1</f>
        <v/>
      </c>
      <c r="G2995" s="92">
        <f>EXP($C$12+$C$8*_xlfn.NORM.S.INV(RAND()))</f>
        <v/>
      </c>
    </row>
    <row r="2996">
      <c r="F2996">
        <f>F2995+1</f>
        <v/>
      </c>
      <c r="G2996" s="92">
        <f>EXP($C$12+$C$8*_xlfn.NORM.S.INV(RAND()))</f>
        <v/>
      </c>
    </row>
    <row r="2997">
      <c r="F2997">
        <f>F2996+1</f>
        <v/>
      </c>
      <c r="G2997" s="92">
        <f>EXP($C$12+$C$8*_xlfn.NORM.S.INV(RAND()))</f>
        <v/>
      </c>
    </row>
    <row r="2998">
      <c r="F2998">
        <f>F2997+1</f>
        <v/>
      </c>
      <c r="G2998" s="92">
        <f>EXP($C$12+$C$8*_xlfn.NORM.S.INV(RAND()))</f>
        <v/>
      </c>
    </row>
    <row r="2999">
      <c r="F2999">
        <f>F2998+1</f>
        <v/>
      </c>
      <c r="G2999" s="92">
        <f>EXP($C$12+$C$8*_xlfn.NORM.S.INV(RAND()))</f>
        <v/>
      </c>
    </row>
    <row r="3000">
      <c r="F3000">
        <f>F2999+1</f>
        <v/>
      </c>
      <c r="G3000" s="92">
        <f>EXP($C$12+$C$8*_xlfn.NORM.S.INV(RAND()))</f>
        <v/>
      </c>
    </row>
    <row r="3001">
      <c r="F3001">
        <f>F3000+1</f>
        <v/>
      </c>
      <c r="G3001" s="92">
        <f>EXP($C$12+$C$8*_xlfn.NORM.S.INV(RAND()))</f>
        <v/>
      </c>
    </row>
    <row r="3002">
      <c r="F3002">
        <f>F3001+1</f>
        <v/>
      </c>
      <c r="G3002" s="92">
        <f>EXP($C$12+$C$8*_xlfn.NORM.S.INV(RAND()))</f>
        <v/>
      </c>
    </row>
    <row r="3003">
      <c r="F3003">
        <f>F3002+1</f>
        <v/>
      </c>
      <c r="G3003" s="92">
        <f>EXP($C$12+$C$8*_xlfn.NORM.S.INV(RAND()))</f>
        <v/>
      </c>
    </row>
    <row r="3004">
      <c r="F3004">
        <f>F3003+1</f>
        <v/>
      </c>
      <c r="G3004" s="92">
        <f>EXP($C$12+$C$8*_xlfn.NORM.S.INV(RAND()))</f>
        <v/>
      </c>
    </row>
    <row r="3005">
      <c r="F3005">
        <f>F3004+1</f>
        <v/>
      </c>
      <c r="G3005" s="92">
        <f>EXP($C$12+$C$8*_xlfn.NORM.S.INV(RAND()))</f>
        <v/>
      </c>
    </row>
    <row r="3006">
      <c r="F3006">
        <f>F3005+1</f>
        <v/>
      </c>
      <c r="G3006" s="92">
        <f>EXP($C$12+$C$8*_xlfn.NORM.S.INV(RAND()))</f>
        <v/>
      </c>
    </row>
    <row r="3007">
      <c r="F3007">
        <f>F3006+1</f>
        <v/>
      </c>
      <c r="G3007" s="92">
        <f>EXP($C$12+$C$8*_xlfn.NORM.S.INV(RAND()))</f>
        <v/>
      </c>
    </row>
    <row r="3008">
      <c r="F3008">
        <f>F3007+1</f>
        <v/>
      </c>
      <c r="G3008" s="92">
        <f>EXP($C$12+$C$8*_xlfn.NORM.S.INV(RAND()))</f>
        <v/>
      </c>
    </row>
    <row r="3009">
      <c r="F3009">
        <f>F3008+1</f>
        <v/>
      </c>
      <c r="G3009" s="92">
        <f>EXP($C$12+$C$8*_xlfn.NORM.S.INV(RAND()))</f>
        <v/>
      </c>
    </row>
    <row r="3010">
      <c r="F3010">
        <f>F3009+1</f>
        <v/>
      </c>
      <c r="G3010" s="92">
        <f>EXP($C$12+$C$8*_xlfn.NORM.S.INV(RAND()))</f>
        <v/>
      </c>
    </row>
    <row r="3011">
      <c r="F3011">
        <f>F3010+1</f>
        <v/>
      </c>
      <c r="G3011" s="92">
        <f>EXP($C$12+$C$8*_xlfn.NORM.S.INV(RAND()))</f>
        <v/>
      </c>
    </row>
    <row r="3012">
      <c r="F3012">
        <f>F3011+1</f>
        <v/>
      </c>
      <c r="G3012" s="92">
        <f>EXP($C$12+$C$8*_xlfn.NORM.S.INV(RAND()))</f>
        <v/>
      </c>
    </row>
    <row r="3013">
      <c r="F3013">
        <f>F3012+1</f>
        <v/>
      </c>
      <c r="G3013" s="92">
        <f>EXP($C$12+$C$8*_xlfn.NORM.S.INV(RAND()))</f>
        <v/>
      </c>
    </row>
    <row r="3014">
      <c r="F3014">
        <f>F3013+1</f>
        <v/>
      </c>
      <c r="G3014" s="92">
        <f>EXP($C$12+$C$8*_xlfn.NORM.S.INV(RAND()))</f>
        <v/>
      </c>
    </row>
    <row r="3015">
      <c r="F3015">
        <f>F3014+1</f>
        <v/>
      </c>
      <c r="G3015" s="92">
        <f>EXP($C$12+$C$8*_xlfn.NORM.S.INV(RAND()))</f>
        <v/>
      </c>
    </row>
    <row r="3016">
      <c r="F3016">
        <f>F3015+1</f>
        <v/>
      </c>
      <c r="G3016" s="92">
        <f>EXP($C$12+$C$8*_xlfn.NORM.S.INV(RAND()))</f>
        <v/>
      </c>
    </row>
    <row r="3017">
      <c r="F3017">
        <f>F3016+1</f>
        <v/>
      </c>
      <c r="G3017" s="92">
        <f>EXP($C$12+$C$8*_xlfn.NORM.S.INV(RAND()))</f>
        <v/>
      </c>
    </row>
    <row r="3018">
      <c r="F3018">
        <f>F3017+1</f>
        <v/>
      </c>
      <c r="G3018" s="92">
        <f>EXP($C$12+$C$8*_xlfn.NORM.S.INV(RAND()))</f>
        <v/>
      </c>
    </row>
    <row r="3019">
      <c r="F3019">
        <f>F3018+1</f>
        <v/>
      </c>
      <c r="G3019" s="92">
        <f>EXP($C$12+$C$8*_xlfn.NORM.S.INV(RAND()))</f>
        <v/>
      </c>
    </row>
    <row r="3020">
      <c r="F3020">
        <f>F3019+1</f>
        <v/>
      </c>
      <c r="G3020" s="92">
        <f>EXP($C$12+$C$8*_xlfn.NORM.S.INV(RAND()))</f>
        <v/>
      </c>
    </row>
    <row r="3021">
      <c r="F3021">
        <f>F3020+1</f>
        <v/>
      </c>
      <c r="G3021" s="92">
        <f>EXP($C$12+$C$8*_xlfn.NORM.S.INV(RAND()))</f>
        <v/>
      </c>
    </row>
    <row r="3022">
      <c r="F3022">
        <f>F3021+1</f>
        <v/>
      </c>
      <c r="G3022" s="92">
        <f>EXP($C$12+$C$8*_xlfn.NORM.S.INV(RAND()))</f>
        <v/>
      </c>
    </row>
    <row r="3023">
      <c r="F3023">
        <f>F3022+1</f>
        <v/>
      </c>
      <c r="G3023" s="92">
        <f>EXP($C$12+$C$8*_xlfn.NORM.S.INV(RAND()))</f>
        <v/>
      </c>
    </row>
    <row r="3024">
      <c r="F3024">
        <f>F3023+1</f>
        <v/>
      </c>
      <c r="G3024" s="92">
        <f>EXP($C$12+$C$8*_xlfn.NORM.S.INV(RAND()))</f>
        <v/>
      </c>
    </row>
    <row r="3025">
      <c r="F3025">
        <f>F3024+1</f>
        <v/>
      </c>
      <c r="G3025" s="92">
        <f>EXP($C$12+$C$8*_xlfn.NORM.S.INV(RAND()))</f>
        <v/>
      </c>
    </row>
    <row r="3026">
      <c r="F3026">
        <f>F3025+1</f>
        <v/>
      </c>
      <c r="G3026" s="92">
        <f>EXP($C$12+$C$8*_xlfn.NORM.S.INV(RAND()))</f>
        <v/>
      </c>
    </row>
    <row r="3027">
      <c r="F3027">
        <f>F3026+1</f>
        <v/>
      </c>
      <c r="G3027" s="92">
        <f>EXP($C$12+$C$8*_xlfn.NORM.S.INV(RAND()))</f>
        <v/>
      </c>
    </row>
    <row r="3028">
      <c r="F3028">
        <f>F3027+1</f>
        <v/>
      </c>
      <c r="G3028" s="92">
        <f>EXP($C$12+$C$8*_xlfn.NORM.S.INV(RAND()))</f>
        <v/>
      </c>
    </row>
    <row r="3029">
      <c r="F3029">
        <f>F3028+1</f>
        <v/>
      </c>
      <c r="G3029" s="92">
        <f>EXP($C$12+$C$8*_xlfn.NORM.S.INV(RAND()))</f>
        <v/>
      </c>
    </row>
    <row r="3030">
      <c r="F3030">
        <f>F3029+1</f>
        <v/>
      </c>
      <c r="G3030" s="92">
        <f>EXP($C$12+$C$8*_xlfn.NORM.S.INV(RAND()))</f>
        <v/>
      </c>
    </row>
    <row r="3031">
      <c r="F3031">
        <f>F3030+1</f>
        <v/>
      </c>
      <c r="G3031" s="92">
        <f>EXP($C$12+$C$8*_xlfn.NORM.S.INV(RAND()))</f>
        <v/>
      </c>
    </row>
    <row r="3032">
      <c r="F3032">
        <f>F3031+1</f>
        <v/>
      </c>
      <c r="G3032" s="92">
        <f>EXP($C$12+$C$8*_xlfn.NORM.S.INV(RAND()))</f>
        <v/>
      </c>
    </row>
    <row r="3033">
      <c r="F3033">
        <f>F3032+1</f>
        <v/>
      </c>
      <c r="G3033" s="92">
        <f>EXP($C$12+$C$8*_xlfn.NORM.S.INV(RAND()))</f>
        <v/>
      </c>
    </row>
    <row r="3034">
      <c r="F3034">
        <f>F3033+1</f>
        <v/>
      </c>
      <c r="G3034" s="92">
        <f>EXP($C$12+$C$8*_xlfn.NORM.S.INV(RAND()))</f>
        <v/>
      </c>
    </row>
    <row r="3035">
      <c r="F3035">
        <f>F3034+1</f>
        <v/>
      </c>
      <c r="G3035" s="92">
        <f>EXP($C$12+$C$8*_xlfn.NORM.S.INV(RAND()))</f>
        <v/>
      </c>
    </row>
    <row r="3036">
      <c r="F3036">
        <f>F3035+1</f>
        <v/>
      </c>
      <c r="G3036" s="92">
        <f>EXP($C$12+$C$8*_xlfn.NORM.S.INV(RAND()))</f>
        <v/>
      </c>
    </row>
    <row r="3037">
      <c r="F3037">
        <f>F3036+1</f>
        <v/>
      </c>
      <c r="G3037" s="92">
        <f>EXP($C$12+$C$8*_xlfn.NORM.S.INV(RAND()))</f>
        <v/>
      </c>
    </row>
    <row r="3038">
      <c r="F3038">
        <f>F3037+1</f>
        <v/>
      </c>
      <c r="G3038" s="92">
        <f>EXP($C$12+$C$8*_xlfn.NORM.S.INV(RAND()))</f>
        <v/>
      </c>
    </row>
    <row r="3039">
      <c r="F3039">
        <f>F3038+1</f>
        <v/>
      </c>
      <c r="G3039" s="92">
        <f>EXP($C$12+$C$8*_xlfn.NORM.S.INV(RAND()))</f>
        <v/>
      </c>
    </row>
    <row r="3040">
      <c r="F3040">
        <f>F3039+1</f>
        <v/>
      </c>
      <c r="G3040" s="92">
        <f>EXP($C$12+$C$8*_xlfn.NORM.S.INV(RAND()))</f>
        <v/>
      </c>
    </row>
    <row r="3041">
      <c r="F3041">
        <f>F3040+1</f>
        <v/>
      </c>
      <c r="G3041" s="92">
        <f>EXP($C$12+$C$8*_xlfn.NORM.S.INV(RAND()))</f>
        <v/>
      </c>
    </row>
    <row r="3042">
      <c r="F3042">
        <f>F3041+1</f>
        <v/>
      </c>
      <c r="G3042" s="92">
        <f>EXP($C$12+$C$8*_xlfn.NORM.S.INV(RAND()))</f>
        <v/>
      </c>
    </row>
    <row r="3043">
      <c r="F3043">
        <f>F3042+1</f>
        <v/>
      </c>
      <c r="G3043" s="92">
        <f>EXP($C$12+$C$8*_xlfn.NORM.S.INV(RAND()))</f>
        <v/>
      </c>
    </row>
    <row r="3044">
      <c r="F3044">
        <f>F3043+1</f>
        <v/>
      </c>
      <c r="G3044" s="92">
        <f>EXP($C$12+$C$8*_xlfn.NORM.S.INV(RAND()))</f>
        <v/>
      </c>
    </row>
    <row r="3045">
      <c r="F3045">
        <f>F3044+1</f>
        <v/>
      </c>
      <c r="G3045" s="92">
        <f>EXP($C$12+$C$8*_xlfn.NORM.S.INV(RAND()))</f>
        <v/>
      </c>
    </row>
    <row r="3046">
      <c r="F3046">
        <f>F3045+1</f>
        <v/>
      </c>
      <c r="G3046" s="92">
        <f>EXP($C$12+$C$8*_xlfn.NORM.S.INV(RAND()))</f>
        <v/>
      </c>
    </row>
    <row r="3047">
      <c r="F3047">
        <f>F3046+1</f>
        <v/>
      </c>
      <c r="G3047" s="92">
        <f>EXP($C$12+$C$8*_xlfn.NORM.S.INV(RAND()))</f>
        <v/>
      </c>
    </row>
    <row r="3048">
      <c r="F3048">
        <f>F3047+1</f>
        <v/>
      </c>
      <c r="G3048" s="92">
        <f>EXP($C$12+$C$8*_xlfn.NORM.S.INV(RAND()))</f>
        <v/>
      </c>
    </row>
    <row r="3049">
      <c r="F3049">
        <f>F3048+1</f>
        <v/>
      </c>
      <c r="G3049" s="92">
        <f>EXP($C$12+$C$8*_xlfn.NORM.S.INV(RAND()))</f>
        <v/>
      </c>
    </row>
    <row r="3050">
      <c r="F3050">
        <f>F3049+1</f>
        <v/>
      </c>
      <c r="G3050" s="92">
        <f>EXP($C$12+$C$8*_xlfn.NORM.S.INV(RAND()))</f>
        <v/>
      </c>
    </row>
    <row r="3051">
      <c r="F3051">
        <f>F3050+1</f>
        <v/>
      </c>
      <c r="G3051" s="92">
        <f>EXP($C$12+$C$8*_xlfn.NORM.S.INV(RAND()))</f>
        <v/>
      </c>
    </row>
    <row r="3052">
      <c r="F3052">
        <f>F3051+1</f>
        <v/>
      </c>
      <c r="G3052" s="92">
        <f>EXP($C$12+$C$8*_xlfn.NORM.S.INV(RAND()))</f>
        <v/>
      </c>
    </row>
    <row r="3053">
      <c r="F3053">
        <f>F3052+1</f>
        <v/>
      </c>
      <c r="G3053" s="92">
        <f>EXP($C$12+$C$8*_xlfn.NORM.S.INV(RAND()))</f>
        <v/>
      </c>
    </row>
    <row r="3054">
      <c r="F3054">
        <f>F3053+1</f>
        <v/>
      </c>
      <c r="G3054" s="92">
        <f>EXP($C$12+$C$8*_xlfn.NORM.S.INV(RAND()))</f>
        <v/>
      </c>
    </row>
    <row r="3055">
      <c r="F3055">
        <f>F3054+1</f>
        <v/>
      </c>
      <c r="G3055" s="92">
        <f>EXP($C$12+$C$8*_xlfn.NORM.S.INV(RAND()))</f>
        <v/>
      </c>
    </row>
    <row r="3056">
      <c r="F3056">
        <f>F3055+1</f>
        <v/>
      </c>
      <c r="G3056" s="92">
        <f>EXP($C$12+$C$8*_xlfn.NORM.S.INV(RAND()))</f>
        <v/>
      </c>
    </row>
    <row r="3057">
      <c r="F3057">
        <f>F3056+1</f>
        <v/>
      </c>
      <c r="G3057" s="92">
        <f>EXP($C$12+$C$8*_xlfn.NORM.S.INV(RAND()))</f>
        <v/>
      </c>
    </row>
    <row r="3058">
      <c r="F3058">
        <f>F3057+1</f>
        <v/>
      </c>
      <c r="G3058" s="92">
        <f>EXP($C$12+$C$8*_xlfn.NORM.S.INV(RAND()))</f>
        <v/>
      </c>
    </row>
    <row r="3059">
      <c r="F3059">
        <f>F3058+1</f>
        <v/>
      </c>
      <c r="G3059" s="92">
        <f>EXP($C$12+$C$8*_xlfn.NORM.S.INV(RAND()))</f>
        <v/>
      </c>
    </row>
    <row r="3060">
      <c r="F3060">
        <f>F3059+1</f>
        <v/>
      </c>
      <c r="G3060" s="92">
        <f>EXP($C$12+$C$8*_xlfn.NORM.S.INV(RAND()))</f>
        <v/>
      </c>
    </row>
    <row r="3061">
      <c r="F3061">
        <f>F3060+1</f>
        <v/>
      </c>
      <c r="G3061" s="92">
        <f>EXP($C$12+$C$8*_xlfn.NORM.S.INV(RAND()))</f>
        <v/>
      </c>
    </row>
    <row r="3062">
      <c r="F3062">
        <f>F3061+1</f>
        <v/>
      </c>
      <c r="G3062" s="92">
        <f>EXP($C$12+$C$8*_xlfn.NORM.S.INV(RAND()))</f>
        <v/>
      </c>
    </row>
    <row r="3063">
      <c r="F3063">
        <f>F3062+1</f>
        <v/>
      </c>
      <c r="G3063" s="92">
        <f>EXP($C$12+$C$8*_xlfn.NORM.S.INV(RAND()))</f>
        <v/>
      </c>
    </row>
    <row r="3064">
      <c r="F3064">
        <f>F3063+1</f>
        <v/>
      </c>
      <c r="G3064" s="92">
        <f>EXP($C$12+$C$8*_xlfn.NORM.S.INV(RAND()))</f>
        <v/>
      </c>
    </row>
    <row r="3065">
      <c r="F3065">
        <f>F3064+1</f>
        <v/>
      </c>
      <c r="G3065" s="92">
        <f>EXP($C$12+$C$8*_xlfn.NORM.S.INV(RAND()))</f>
        <v/>
      </c>
    </row>
    <row r="3066">
      <c r="F3066">
        <f>F3065+1</f>
        <v/>
      </c>
      <c r="G3066" s="92">
        <f>EXP($C$12+$C$8*_xlfn.NORM.S.INV(RAND()))</f>
        <v/>
      </c>
    </row>
    <row r="3067">
      <c r="F3067">
        <f>F3066+1</f>
        <v/>
      </c>
      <c r="G3067" s="92">
        <f>EXP($C$12+$C$8*_xlfn.NORM.S.INV(RAND()))</f>
        <v/>
      </c>
    </row>
    <row r="3068">
      <c r="F3068">
        <f>F3067+1</f>
        <v/>
      </c>
      <c r="G3068" s="92">
        <f>EXP($C$12+$C$8*_xlfn.NORM.S.INV(RAND()))</f>
        <v/>
      </c>
    </row>
    <row r="3069">
      <c r="F3069">
        <f>F3068+1</f>
        <v/>
      </c>
      <c r="G3069" s="92">
        <f>EXP($C$12+$C$8*_xlfn.NORM.S.INV(RAND()))</f>
        <v/>
      </c>
    </row>
    <row r="3070">
      <c r="F3070">
        <f>F3069+1</f>
        <v/>
      </c>
      <c r="G3070" s="92">
        <f>EXP($C$12+$C$8*_xlfn.NORM.S.INV(RAND()))</f>
        <v/>
      </c>
    </row>
    <row r="3071">
      <c r="F3071">
        <f>F3070+1</f>
        <v/>
      </c>
      <c r="G3071" s="92">
        <f>EXP($C$12+$C$8*_xlfn.NORM.S.INV(RAND()))</f>
        <v/>
      </c>
    </row>
    <row r="3072">
      <c r="F3072">
        <f>F3071+1</f>
        <v/>
      </c>
      <c r="G3072" s="92">
        <f>EXP($C$12+$C$8*_xlfn.NORM.S.INV(RAND()))</f>
        <v/>
      </c>
    </row>
    <row r="3073">
      <c r="F3073">
        <f>F3072+1</f>
        <v/>
      </c>
      <c r="G3073" s="92">
        <f>EXP($C$12+$C$8*_xlfn.NORM.S.INV(RAND()))</f>
        <v/>
      </c>
    </row>
    <row r="3074">
      <c r="F3074">
        <f>F3073+1</f>
        <v/>
      </c>
      <c r="G3074" s="92">
        <f>EXP($C$12+$C$8*_xlfn.NORM.S.INV(RAND()))</f>
        <v/>
      </c>
    </row>
    <row r="3075">
      <c r="F3075">
        <f>F3074+1</f>
        <v/>
      </c>
      <c r="G3075" s="92">
        <f>EXP($C$12+$C$8*_xlfn.NORM.S.INV(RAND()))</f>
        <v/>
      </c>
    </row>
    <row r="3076">
      <c r="F3076">
        <f>F3075+1</f>
        <v/>
      </c>
      <c r="G3076" s="92">
        <f>EXP($C$12+$C$8*_xlfn.NORM.S.INV(RAND()))</f>
        <v/>
      </c>
    </row>
    <row r="3077">
      <c r="F3077">
        <f>F3076+1</f>
        <v/>
      </c>
      <c r="G3077" s="92">
        <f>EXP($C$12+$C$8*_xlfn.NORM.S.INV(RAND()))</f>
        <v/>
      </c>
    </row>
    <row r="3078">
      <c r="F3078">
        <f>F3077+1</f>
        <v/>
      </c>
      <c r="G3078" s="92">
        <f>EXP($C$12+$C$8*_xlfn.NORM.S.INV(RAND()))</f>
        <v/>
      </c>
    </row>
    <row r="3079">
      <c r="F3079">
        <f>F3078+1</f>
        <v/>
      </c>
      <c r="G3079" s="92">
        <f>EXP($C$12+$C$8*_xlfn.NORM.S.INV(RAND()))</f>
        <v/>
      </c>
    </row>
    <row r="3080">
      <c r="F3080">
        <f>F3079+1</f>
        <v/>
      </c>
      <c r="G3080" s="92">
        <f>EXP($C$12+$C$8*_xlfn.NORM.S.INV(RAND()))</f>
        <v/>
      </c>
    </row>
    <row r="3081">
      <c r="F3081">
        <f>F3080+1</f>
        <v/>
      </c>
      <c r="G3081" s="92">
        <f>EXP($C$12+$C$8*_xlfn.NORM.S.INV(RAND()))</f>
        <v/>
      </c>
    </row>
    <row r="3082">
      <c r="F3082">
        <f>F3081+1</f>
        <v/>
      </c>
      <c r="G3082" s="92">
        <f>EXP($C$12+$C$8*_xlfn.NORM.S.INV(RAND()))</f>
        <v/>
      </c>
    </row>
    <row r="3083">
      <c r="F3083">
        <f>F3082+1</f>
        <v/>
      </c>
      <c r="G3083" s="92">
        <f>EXP($C$12+$C$8*_xlfn.NORM.S.INV(RAND()))</f>
        <v/>
      </c>
    </row>
    <row r="3084">
      <c r="F3084">
        <f>F3083+1</f>
        <v/>
      </c>
      <c r="G3084" s="92">
        <f>EXP($C$12+$C$8*_xlfn.NORM.S.INV(RAND()))</f>
        <v/>
      </c>
    </row>
    <row r="3085">
      <c r="F3085">
        <f>F3084+1</f>
        <v/>
      </c>
      <c r="G3085" s="92">
        <f>EXP($C$12+$C$8*_xlfn.NORM.S.INV(RAND()))</f>
        <v/>
      </c>
    </row>
    <row r="3086">
      <c r="F3086">
        <f>F3085+1</f>
        <v/>
      </c>
      <c r="G3086" s="92">
        <f>EXP($C$12+$C$8*_xlfn.NORM.S.INV(RAND()))</f>
        <v/>
      </c>
    </row>
    <row r="3087">
      <c r="F3087">
        <f>F3086+1</f>
        <v/>
      </c>
      <c r="G3087" s="92">
        <f>EXP($C$12+$C$8*_xlfn.NORM.S.INV(RAND()))</f>
        <v/>
      </c>
    </row>
    <row r="3088">
      <c r="F3088">
        <f>F3087+1</f>
        <v/>
      </c>
      <c r="G3088" s="92">
        <f>EXP($C$12+$C$8*_xlfn.NORM.S.INV(RAND()))</f>
        <v/>
      </c>
    </row>
    <row r="3089">
      <c r="F3089">
        <f>F3088+1</f>
        <v/>
      </c>
      <c r="G3089" s="92">
        <f>EXP($C$12+$C$8*_xlfn.NORM.S.INV(RAND()))</f>
        <v/>
      </c>
    </row>
    <row r="3090">
      <c r="F3090">
        <f>F3089+1</f>
        <v/>
      </c>
      <c r="G3090" s="92">
        <f>EXP($C$12+$C$8*_xlfn.NORM.S.INV(RAND()))</f>
        <v/>
      </c>
    </row>
    <row r="3091">
      <c r="F3091">
        <f>F3090+1</f>
        <v/>
      </c>
      <c r="G3091" s="92">
        <f>EXP($C$12+$C$8*_xlfn.NORM.S.INV(RAND()))</f>
        <v/>
      </c>
    </row>
    <row r="3092">
      <c r="F3092">
        <f>F3091+1</f>
        <v/>
      </c>
      <c r="G3092" s="92">
        <f>EXP($C$12+$C$8*_xlfn.NORM.S.INV(RAND()))</f>
        <v/>
      </c>
    </row>
    <row r="3093">
      <c r="F3093">
        <f>F3092+1</f>
        <v/>
      </c>
      <c r="G3093" s="92">
        <f>EXP($C$12+$C$8*_xlfn.NORM.S.INV(RAND()))</f>
        <v/>
      </c>
    </row>
    <row r="3094">
      <c r="F3094">
        <f>F3093+1</f>
        <v/>
      </c>
      <c r="G3094" s="92">
        <f>EXP($C$12+$C$8*_xlfn.NORM.S.INV(RAND()))</f>
        <v/>
      </c>
    </row>
    <row r="3095">
      <c r="F3095">
        <f>F3094+1</f>
        <v/>
      </c>
      <c r="G3095" s="92">
        <f>EXP($C$12+$C$8*_xlfn.NORM.S.INV(RAND()))</f>
        <v/>
      </c>
    </row>
    <row r="3096">
      <c r="F3096">
        <f>F3095+1</f>
        <v/>
      </c>
      <c r="G3096" s="92">
        <f>EXP($C$12+$C$8*_xlfn.NORM.S.INV(RAND()))</f>
        <v/>
      </c>
    </row>
    <row r="3097">
      <c r="F3097">
        <f>F3096+1</f>
        <v/>
      </c>
      <c r="G3097" s="92">
        <f>EXP($C$12+$C$8*_xlfn.NORM.S.INV(RAND()))</f>
        <v/>
      </c>
    </row>
    <row r="3098">
      <c r="F3098">
        <f>F3097+1</f>
        <v/>
      </c>
      <c r="G3098" s="92">
        <f>EXP($C$12+$C$8*_xlfn.NORM.S.INV(RAND()))</f>
        <v/>
      </c>
    </row>
    <row r="3099">
      <c r="F3099">
        <f>F3098+1</f>
        <v/>
      </c>
      <c r="G3099" s="92">
        <f>EXP($C$12+$C$8*_xlfn.NORM.S.INV(RAND()))</f>
        <v/>
      </c>
    </row>
    <row r="3100">
      <c r="F3100">
        <f>F3099+1</f>
        <v/>
      </c>
      <c r="G3100" s="92">
        <f>EXP($C$12+$C$8*_xlfn.NORM.S.INV(RAND()))</f>
        <v/>
      </c>
    </row>
    <row r="3101">
      <c r="F3101">
        <f>F3100+1</f>
        <v/>
      </c>
      <c r="G3101" s="92">
        <f>EXP($C$12+$C$8*_xlfn.NORM.S.INV(RAND()))</f>
        <v/>
      </c>
    </row>
    <row r="3102">
      <c r="F3102">
        <f>F3101+1</f>
        <v/>
      </c>
      <c r="G3102" s="92">
        <f>EXP($C$12+$C$8*_xlfn.NORM.S.INV(RAND()))</f>
        <v/>
      </c>
    </row>
    <row r="3103">
      <c r="F3103">
        <f>F3102+1</f>
        <v/>
      </c>
      <c r="G3103" s="92">
        <f>EXP($C$12+$C$8*_xlfn.NORM.S.INV(RAND()))</f>
        <v/>
      </c>
    </row>
    <row r="3104">
      <c r="F3104">
        <f>F3103+1</f>
        <v/>
      </c>
      <c r="G3104" s="92">
        <f>EXP($C$12+$C$8*_xlfn.NORM.S.INV(RAND()))</f>
        <v/>
      </c>
    </row>
    <row r="3105">
      <c r="F3105">
        <f>F3104+1</f>
        <v/>
      </c>
      <c r="G3105" s="92">
        <f>EXP($C$12+$C$8*_xlfn.NORM.S.INV(RAND()))</f>
        <v/>
      </c>
    </row>
    <row r="3106">
      <c r="F3106">
        <f>F3105+1</f>
        <v/>
      </c>
      <c r="G3106" s="92">
        <f>EXP($C$12+$C$8*_xlfn.NORM.S.INV(RAND()))</f>
        <v/>
      </c>
    </row>
    <row r="3107">
      <c r="F3107">
        <f>F3106+1</f>
        <v/>
      </c>
      <c r="G3107" s="92">
        <f>EXP($C$12+$C$8*_xlfn.NORM.S.INV(RAND()))</f>
        <v/>
      </c>
    </row>
    <row r="3108">
      <c r="F3108">
        <f>F3107+1</f>
        <v/>
      </c>
      <c r="G3108" s="92">
        <f>EXP($C$12+$C$8*_xlfn.NORM.S.INV(RAND()))</f>
        <v/>
      </c>
    </row>
    <row r="3109">
      <c r="F3109">
        <f>F3108+1</f>
        <v/>
      </c>
      <c r="G3109" s="92">
        <f>EXP($C$12+$C$8*_xlfn.NORM.S.INV(RAND()))</f>
        <v/>
      </c>
    </row>
    <row r="3110">
      <c r="F3110">
        <f>F3109+1</f>
        <v/>
      </c>
      <c r="G3110" s="92">
        <f>EXP($C$12+$C$8*_xlfn.NORM.S.INV(RAND()))</f>
        <v/>
      </c>
    </row>
    <row r="3111">
      <c r="F3111">
        <f>F3110+1</f>
        <v/>
      </c>
      <c r="G3111" s="92">
        <f>EXP($C$12+$C$8*_xlfn.NORM.S.INV(RAND()))</f>
        <v/>
      </c>
    </row>
    <row r="3112">
      <c r="F3112">
        <f>F3111+1</f>
        <v/>
      </c>
      <c r="G3112" s="92">
        <f>EXP($C$12+$C$8*_xlfn.NORM.S.INV(RAND()))</f>
        <v/>
      </c>
    </row>
    <row r="3113">
      <c r="F3113">
        <f>F3112+1</f>
        <v/>
      </c>
      <c r="G3113" s="92">
        <f>EXP($C$12+$C$8*_xlfn.NORM.S.INV(RAND()))</f>
        <v/>
      </c>
    </row>
    <row r="3114">
      <c r="F3114">
        <f>F3113+1</f>
        <v/>
      </c>
      <c r="G3114" s="92">
        <f>EXP($C$12+$C$8*_xlfn.NORM.S.INV(RAND()))</f>
        <v/>
      </c>
    </row>
    <row r="3115">
      <c r="F3115">
        <f>F3114+1</f>
        <v/>
      </c>
      <c r="G3115" s="92">
        <f>EXP($C$12+$C$8*_xlfn.NORM.S.INV(RAND()))</f>
        <v/>
      </c>
    </row>
    <row r="3116">
      <c r="F3116">
        <f>F3115+1</f>
        <v/>
      </c>
      <c r="G3116" s="92">
        <f>EXP($C$12+$C$8*_xlfn.NORM.S.INV(RAND()))</f>
        <v/>
      </c>
    </row>
    <row r="3117">
      <c r="F3117">
        <f>F3116+1</f>
        <v/>
      </c>
      <c r="G3117" s="92">
        <f>EXP($C$12+$C$8*_xlfn.NORM.S.INV(RAND()))</f>
        <v/>
      </c>
    </row>
    <row r="3118">
      <c r="F3118">
        <f>F3117+1</f>
        <v/>
      </c>
      <c r="G3118" s="92">
        <f>EXP($C$12+$C$8*_xlfn.NORM.S.INV(RAND()))</f>
        <v/>
      </c>
    </row>
    <row r="3119">
      <c r="F3119">
        <f>F3118+1</f>
        <v/>
      </c>
      <c r="G3119" s="92">
        <f>EXP($C$12+$C$8*_xlfn.NORM.S.INV(RAND()))</f>
        <v/>
      </c>
    </row>
    <row r="3120">
      <c r="F3120">
        <f>F3119+1</f>
        <v/>
      </c>
      <c r="G3120" s="92">
        <f>EXP($C$12+$C$8*_xlfn.NORM.S.INV(RAND()))</f>
        <v/>
      </c>
    </row>
    <row r="3121">
      <c r="F3121">
        <f>F3120+1</f>
        <v/>
      </c>
      <c r="G3121" s="92">
        <f>EXP($C$12+$C$8*_xlfn.NORM.S.INV(RAND()))</f>
        <v/>
      </c>
    </row>
    <row r="3122">
      <c r="F3122">
        <f>F3121+1</f>
        <v/>
      </c>
      <c r="G3122" s="92">
        <f>EXP($C$12+$C$8*_xlfn.NORM.S.INV(RAND()))</f>
        <v/>
      </c>
    </row>
    <row r="3123">
      <c r="F3123">
        <f>F3122+1</f>
        <v/>
      </c>
      <c r="G3123" s="92">
        <f>EXP($C$12+$C$8*_xlfn.NORM.S.INV(RAND()))</f>
        <v/>
      </c>
    </row>
    <row r="3124">
      <c r="F3124">
        <f>F3123+1</f>
        <v/>
      </c>
      <c r="G3124" s="92">
        <f>EXP($C$12+$C$8*_xlfn.NORM.S.INV(RAND()))</f>
        <v/>
      </c>
    </row>
    <row r="3125">
      <c r="F3125">
        <f>F3124+1</f>
        <v/>
      </c>
      <c r="G3125" s="92">
        <f>EXP($C$12+$C$8*_xlfn.NORM.S.INV(RAND()))</f>
        <v/>
      </c>
    </row>
    <row r="3126">
      <c r="F3126">
        <f>F3125+1</f>
        <v/>
      </c>
      <c r="G3126" s="92">
        <f>EXP($C$12+$C$8*_xlfn.NORM.S.INV(RAND()))</f>
        <v/>
      </c>
    </row>
    <row r="3127">
      <c r="F3127">
        <f>F3126+1</f>
        <v/>
      </c>
      <c r="G3127" s="92">
        <f>EXP($C$12+$C$8*_xlfn.NORM.S.INV(RAND()))</f>
        <v/>
      </c>
    </row>
    <row r="3128">
      <c r="F3128">
        <f>F3127+1</f>
        <v/>
      </c>
      <c r="G3128" s="92">
        <f>EXP($C$12+$C$8*_xlfn.NORM.S.INV(RAND()))</f>
        <v/>
      </c>
    </row>
    <row r="3129">
      <c r="F3129">
        <f>F3128+1</f>
        <v/>
      </c>
      <c r="G3129" s="92">
        <f>EXP($C$12+$C$8*_xlfn.NORM.S.INV(RAND()))</f>
        <v/>
      </c>
    </row>
    <row r="3130">
      <c r="F3130">
        <f>F3129+1</f>
        <v/>
      </c>
      <c r="G3130" s="92">
        <f>EXP($C$12+$C$8*_xlfn.NORM.S.INV(RAND()))</f>
        <v/>
      </c>
    </row>
    <row r="3131">
      <c r="F3131">
        <f>F3130+1</f>
        <v/>
      </c>
      <c r="G3131" s="92">
        <f>EXP($C$12+$C$8*_xlfn.NORM.S.INV(RAND()))</f>
        <v/>
      </c>
    </row>
    <row r="3132">
      <c r="F3132">
        <f>F3131+1</f>
        <v/>
      </c>
      <c r="G3132" s="92">
        <f>EXP($C$12+$C$8*_xlfn.NORM.S.INV(RAND()))</f>
        <v/>
      </c>
    </row>
    <row r="3133">
      <c r="F3133">
        <f>F3132+1</f>
        <v/>
      </c>
      <c r="G3133" s="92">
        <f>EXP($C$12+$C$8*_xlfn.NORM.S.INV(RAND()))</f>
        <v/>
      </c>
    </row>
    <row r="3134">
      <c r="F3134">
        <f>F3133+1</f>
        <v/>
      </c>
      <c r="G3134" s="92">
        <f>EXP($C$12+$C$8*_xlfn.NORM.S.INV(RAND()))</f>
        <v/>
      </c>
    </row>
    <row r="3135">
      <c r="F3135">
        <f>F3134+1</f>
        <v/>
      </c>
      <c r="G3135" s="92">
        <f>EXP($C$12+$C$8*_xlfn.NORM.S.INV(RAND()))</f>
        <v/>
      </c>
    </row>
    <row r="3136">
      <c r="F3136">
        <f>F3135+1</f>
        <v/>
      </c>
      <c r="G3136" s="92">
        <f>EXP($C$12+$C$8*_xlfn.NORM.S.INV(RAND()))</f>
        <v/>
      </c>
    </row>
    <row r="3137">
      <c r="F3137">
        <f>F3136+1</f>
        <v/>
      </c>
      <c r="G3137" s="92">
        <f>EXP($C$12+$C$8*_xlfn.NORM.S.INV(RAND()))</f>
        <v/>
      </c>
    </row>
    <row r="3138">
      <c r="F3138">
        <f>F3137+1</f>
        <v/>
      </c>
      <c r="G3138" s="92">
        <f>EXP($C$12+$C$8*_xlfn.NORM.S.INV(RAND()))</f>
        <v/>
      </c>
    </row>
    <row r="3139">
      <c r="F3139">
        <f>F3138+1</f>
        <v/>
      </c>
      <c r="G3139" s="92">
        <f>EXP($C$12+$C$8*_xlfn.NORM.S.INV(RAND()))</f>
        <v/>
      </c>
    </row>
    <row r="3140">
      <c r="F3140">
        <f>F3139+1</f>
        <v/>
      </c>
      <c r="G3140" s="92">
        <f>EXP($C$12+$C$8*_xlfn.NORM.S.INV(RAND()))</f>
        <v/>
      </c>
    </row>
    <row r="3141">
      <c r="F3141">
        <f>F3140+1</f>
        <v/>
      </c>
      <c r="G3141" s="92">
        <f>EXP($C$12+$C$8*_xlfn.NORM.S.INV(RAND()))</f>
        <v/>
      </c>
    </row>
    <row r="3142">
      <c r="F3142">
        <f>F3141+1</f>
        <v/>
      </c>
      <c r="G3142" s="92">
        <f>EXP($C$12+$C$8*_xlfn.NORM.S.INV(RAND()))</f>
        <v/>
      </c>
    </row>
    <row r="3143">
      <c r="F3143">
        <f>F3142+1</f>
        <v/>
      </c>
      <c r="G3143" s="92">
        <f>EXP($C$12+$C$8*_xlfn.NORM.S.INV(RAND()))</f>
        <v/>
      </c>
    </row>
    <row r="3144">
      <c r="F3144">
        <f>F3143+1</f>
        <v/>
      </c>
      <c r="G3144" s="92">
        <f>EXP($C$12+$C$8*_xlfn.NORM.S.INV(RAND()))</f>
        <v/>
      </c>
    </row>
    <row r="3145">
      <c r="F3145">
        <f>F3144+1</f>
        <v/>
      </c>
      <c r="G3145" s="92">
        <f>EXP($C$12+$C$8*_xlfn.NORM.S.INV(RAND()))</f>
        <v/>
      </c>
    </row>
    <row r="3146">
      <c r="F3146">
        <f>F3145+1</f>
        <v/>
      </c>
      <c r="G3146" s="92">
        <f>EXP($C$12+$C$8*_xlfn.NORM.S.INV(RAND()))</f>
        <v/>
      </c>
    </row>
    <row r="3147">
      <c r="F3147">
        <f>F3146+1</f>
        <v/>
      </c>
      <c r="G3147" s="92">
        <f>EXP($C$12+$C$8*_xlfn.NORM.S.INV(RAND()))</f>
        <v/>
      </c>
    </row>
    <row r="3148">
      <c r="F3148">
        <f>F3147+1</f>
        <v/>
      </c>
      <c r="G3148" s="92">
        <f>EXP($C$12+$C$8*_xlfn.NORM.S.INV(RAND()))</f>
        <v/>
      </c>
    </row>
    <row r="3149">
      <c r="F3149">
        <f>F3148+1</f>
        <v/>
      </c>
      <c r="G3149" s="92">
        <f>EXP($C$12+$C$8*_xlfn.NORM.S.INV(RAND()))</f>
        <v/>
      </c>
    </row>
    <row r="3150">
      <c r="F3150">
        <f>F3149+1</f>
        <v/>
      </c>
      <c r="G3150" s="92">
        <f>EXP($C$12+$C$8*_xlfn.NORM.S.INV(RAND()))</f>
        <v/>
      </c>
    </row>
    <row r="3151">
      <c r="F3151">
        <f>F3150+1</f>
        <v/>
      </c>
      <c r="G3151" s="92">
        <f>EXP($C$12+$C$8*_xlfn.NORM.S.INV(RAND()))</f>
        <v/>
      </c>
    </row>
    <row r="3152">
      <c r="F3152">
        <f>F3151+1</f>
        <v/>
      </c>
      <c r="G3152" s="92">
        <f>EXP($C$12+$C$8*_xlfn.NORM.S.INV(RAND()))</f>
        <v/>
      </c>
    </row>
    <row r="3153">
      <c r="F3153">
        <f>F3152+1</f>
        <v/>
      </c>
      <c r="G3153" s="92">
        <f>EXP($C$12+$C$8*_xlfn.NORM.S.INV(RAND()))</f>
        <v/>
      </c>
    </row>
    <row r="3154">
      <c r="F3154">
        <f>F3153+1</f>
        <v/>
      </c>
      <c r="G3154" s="92">
        <f>EXP($C$12+$C$8*_xlfn.NORM.S.INV(RAND()))</f>
        <v/>
      </c>
    </row>
    <row r="3155">
      <c r="F3155">
        <f>F3154+1</f>
        <v/>
      </c>
      <c r="G3155" s="92">
        <f>EXP($C$12+$C$8*_xlfn.NORM.S.INV(RAND()))</f>
        <v/>
      </c>
    </row>
    <row r="3156">
      <c r="F3156">
        <f>F3155+1</f>
        <v/>
      </c>
      <c r="G3156" s="92">
        <f>EXP($C$12+$C$8*_xlfn.NORM.S.INV(RAND()))</f>
        <v/>
      </c>
    </row>
    <row r="3157">
      <c r="F3157">
        <f>F3156+1</f>
        <v/>
      </c>
      <c r="G3157" s="92">
        <f>EXP($C$12+$C$8*_xlfn.NORM.S.INV(RAND()))</f>
        <v/>
      </c>
    </row>
    <row r="3158">
      <c r="F3158">
        <f>F3157+1</f>
        <v/>
      </c>
      <c r="G3158" s="92">
        <f>EXP($C$12+$C$8*_xlfn.NORM.S.INV(RAND()))</f>
        <v/>
      </c>
    </row>
    <row r="3159">
      <c r="F3159">
        <f>F3158+1</f>
        <v/>
      </c>
      <c r="G3159" s="92">
        <f>EXP($C$12+$C$8*_xlfn.NORM.S.INV(RAND()))</f>
        <v/>
      </c>
    </row>
    <row r="3160">
      <c r="F3160">
        <f>F3159+1</f>
        <v/>
      </c>
      <c r="G3160" s="92">
        <f>EXP($C$12+$C$8*_xlfn.NORM.S.INV(RAND()))</f>
        <v/>
      </c>
    </row>
    <row r="3161">
      <c r="F3161">
        <f>F3160+1</f>
        <v/>
      </c>
      <c r="G3161" s="92">
        <f>EXP($C$12+$C$8*_xlfn.NORM.S.INV(RAND()))</f>
        <v/>
      </c>
    </row>
    <row r="3162">
      <c r="F3162">
        <f>F3161+1</f>
        <v/>
      </c>
      <c r="G3162" s="92">
        <f>EXP($C$12+$C$8*_xlfn.NORM.S.INV(RAND()))</f>
        <v/>
      </c>
    </row>
    <row r="3163">
      <c r="F3163">
        <f>F3162+1</f>
        <v/>
      </c>
      <c r="G3163" s="92">
        <f>EXP($C$12+$C$8*_xlfn.NORM.S.INV(RAND()))</f>
        <v/>
      </c>
    </row>
    <row r="3164">
      <c r="F3164">
        <f>F3163+1</f>
        <v/>
      </c>
      <c r="G3164" s="92">
        <f>EXP($C$12+$C$8*_xlfn.NORM.S.INV(RAND()))</f>
        <v/>
      </c>
    </row>
    <row r="3165">
      <c r="F3165">
        <f>F3164+1</f>
        <v/>
      </c>
      <c r="G3165" s="92">
        <f>EXP($C$12+$C$8*_xlfn.NORM.S.INV(RAND()))</f>
        <v/>
      </c>
    </row>
    <row r="3166">
      <c r="F3166">
        <f>F3165+1</f>
        <v/>
      </c>
      <c r="G3166" s="92">
        <f>EXP($C$12+$C$8*_xlfn.NORM.S.INV(RAND()))</f>
        <v/>
      </c>
    </row>
    <row r="3167">
      <c r="F3167">
        <f>F3166+1</f>
        <v/>
      </c>
      <c r="G3167" s="92">
        <f>EXP($C$12+$C$8*_xlfn.NORM.S.INV(RAND()))</f>
        <v/>
      </c>
    </row>
    <row r="3168">
      <c r="F3168">
        <f>F3167+1</f>
        <v/>
      </c>
      <c r="G3168" s="92">
        <f>EXP($C$12+$C$8*_xlfn.NORM.S.INV(RAND()))</f>
        <v/>
      </c>
    </row>
    <row r="3169">
      <c r="F3169">
        <f>F3168+1</f>
        <v/>
      </c>
      <c r="G3169" s="92">
        <f>EXP($C$12+$C$8*_xlfn.NORM.S.INV(RAND()))</f>
        <v/>
      </c>
    </row>
    <row r="3170">
      <c r="F3170">
        <f>F3169+1</f>
        <v/>
      </c>
      <c r="G3170" s="92">
        <f>EXP($C$12+$C$8*_xlfn.NORM.S.INV(RAND()))</f>
        <v/>
      </c>
    </row>
    <row r="3171">
      <c r="F3171">
        <f>F3170+1</f>
        <v/>
      </c>
      <c r="G3171" s="92">
        <f>EXP($C$12+$C$8*_xlfn.NORM.S.INV(RAND()))</f>
        <v/>
      </c>
    </row>
    <row r="3172">
      <c r="F3172">
        <f>F3171+1</f>
        <v/>
      </c>
      <c r="G3172" s="92">
        <f>EXP($C$12+$C$8*_xlfn.NORM.S.INV(RAND()))</f>
        <v/>
      </c>
    </row>
    <row r="3173">
      <c r="F3173">
        <f>F3172+1</f>
        <v/>
      </c>
      <c r="G3173" s="92">
        <f>EXP($C$12+$C$8*_xlfn.NORM.S.INV(RAND()))</f>
        <v/>
      </c>
    </row>
    <row r="3174">
      <c r="F3174">
        <f>F3173+1</f>
        <v/>
      </c>
      <c r="G3174" s="92">
        <f>EXP($C$12+$C$8*_xlfn.NORM.S.INV(RAND()))</f>
        <v/>
      </c>
    </row>
    <row r="3175">
      <c r="F3175">
        <f>F3174+1</f>
        <v/>
      </c>
      <c r="G3175" s="92">
        <f>EXP($C$12+$C$8*_xlfn.NORM.S.INV(RAND()))</f>
        <v/>
      </c>
    </row>
    <row r="3176">
      <c r="F3176">
        <f>F3175+1</f>
        <v/>
      </c>
      <c r="G3176" s="92">
        <f>EXP($C$12+$C$8*_xlfn.NORM.S.INV(RAND()))</f>
        <v/>
      </c>
    </row>
    <row r="3177">
      <c r="F3177">
        <f>F3176+1</f>
        <v/>
      </c>
      <c r="G3177" s="92">
        <f>EXP($C$12+$C$8*_xlfn.NORM.S.INV(RAND()))</f>
        <v/>
      </c>
    </row>
    <row r="3178">
      <c r="F3178">
        <f>F3177+1</f>
        <v/>
      </c>
      <c r="G3178" s="92">
        <f>EXP($C$12+$C$8*_xlfn.NORM.S.INV(RAND()))</f>
        <v/>
      </c>
    </row>
    <row r="3179">
      <c r="F3179">
        <f>F3178+1</f>
        <v/>
      </c>
      <c r="G3179" s="92">
        <f>EXP($C$12+$C$8*_xlfn.NORM.S.INV(RAND()))</f>
        <v/>
      </c>
    </row>
    <row r="3180">
      <c r="F3180">
        <f>F3179+1</f>
        <v/>
      </c>
      <c r="G3180" s="92">
        <f>EXP($C$12+$C$8*_xlfn.NORM.S.INV(RAND()))</f>
        <v/>
      </c>
    </row>
    <row r="3181">
      <c r="F3181">
        <f>F3180+1</f>
        <v/>
      </c>
      <c r="G3181" s="92">
        <f>EXP($C$12+$C$8*_xlfn.NORM.S.INV(RAND()))</f>
        <v/>
      </c>
    </row>
    <row r="3182">
      <c r="F3182">
        <f>F3181+1</f>
        <v/>
      </c>
      <c r="G3182" s="92">
        <f>EXP($C$12+$C$8*_xlfn.NORM.S.INV(RAND()))</f>
        <v/>
      </c>
    </row>
    <row r="3183">
      <c r="F3183">
        <f>F3182+1</f>
        <v/>
      </c>
      <c r="G3183" s="92">
        <f>EXP($C$12+$C$8*_xlfn.NORM.S.INV(RAND()))</f>
        <v/>
      </c>
    </row>
    <row r="3184">
      <c r="F3184">
        <f>F3183+1</f>
        <v/>
      </c>
      <c r="G3184" s="92">
        <f>EXP($C$12+$C$8*_xlfn.NORM.S.INV(RAND()))</f>
        <v/>
      </c>
    </row>
    <row r="3185">
      <c r="F3185">
        <f>F3184+1</f>
        <v/>
      </c>
      <c r="G3185" s="92">
        <f>EXP($C$12+$C$8*_xlfn.NORM.S.INV(RAND()))</f>
        <v/>
      </c>
    </row>
    <row r="3186">
      <c r="F3186">
        <f>F3185+1</f>
        <v/>
      </c>
      <c r="G3186" s="92">
        <f>EXP($C$12+$C$8*_xlfn.NORM.S.INV(RAND()))</f>
        <v/>
      </c>
    </row>
    <row r="3187">
      <c r="F3187">
        <f>F3186+1</f>
        <v/>
      </c>
      <c r="G3187" s="92">
        <f>EXP($C$12+$C$8*_xlfn.NORM.S.INV(RAND()))</f>
        <v/>
      </c>
    </row>
    <row r="3188">
      <c r="F3188">
        <f>F3187+1</f>
        <v/>
      </c>
      <c r="G3188" s="92">
        <f>EXP($C$12+$C$8*_xlfn.NORM.S.INV(RAND()))</f>
        <v/>
      </c>
    </row>
    <row r="3189">
      <c r="F3189">
        <f>F3188+1</f>
        <v/>
      </c>
      <c r="G3189" s="92">
        <f>EXP($C$12+$C$8*_xlfn.NORM.S.INV(RAND()))</f>
        <v/>
      </c>
    </row>
    <row r="3190">
      <c r="F3190">
        <f>F3189+1</f>
        <v/>
      </c>
      <c r="G3190" s="92">
        <f>EXP($C$12+$C$8*_xlfn.NORM.S.INV(RAND()))</f>
        <v/>
      </c>
    </row>
    <row r="3191">
      <c r="F3191">
        <f>F3190+1</f>
        <v/>
      </c>
      <c r="G3191" s="92">
        <f>EXP($C$12+$C$8*_xlfn.NORM.S.INV(RAND()))</f>
        <v/>
      </c>
    </row>
    <row r="3192">
      <c r="F3192">
        <f>F3191+1</f>
        <v/>
      </c>
      <c r="G3192" s="92">
        <f>EXP($C$12+$C$8*_xlfn.NORM.S.INV(RAND()))</f>
        <v/>
      </c>
    </row>
    <row r="3193">
      <c r="F3193">
        <f>F3192+1</f>
        <v/>
      </c>
      <c r="G3193" s="92">
        <f>EXP($C$12+$C$8*_xlfn.NORM.S.INV(RAND()))</f>
        <v/>
      </c>
    </row>
    <row r="3194">
      <c r="F3194">
        <f>F3193+1</f>
        <v/>
      </c>
      <c r="G3194" s="92">
        <f>EXP($C$12+$C$8*_xlfn.NORM.S.INV(RAND()))</f>
        <v/>
      </c>
    </row>
    <row r="3195">
      <c r="F3195">
        <f>F3194+1</f>
        <v/>
      </c>
      <c r="G3195" s="92">
        <f>EXP($C$12+$C$8*_xlfn.NORM.S.INV(RAND()))</f>
        <v/>
      </c>
    </row>
    <row r="3196">
      <c r="F3196">
        <f>F3195+1</f>
        <v/>
      </c>
      <c r="G3196" s="92">
        <f>EXP($C$12+$C$8*_xlfn.NORM.S.INV(RAND()))</f>
        <v/>
      </c>
    </row>
    <row r="3197">
      <c r="F3197">
        <f>F3196+1</f>
        <v/>
      </c>
      <c r="G3197" s="92">
        <f>EXP($C$12+$C$8*_xlfn.NORM.S.INV(RAND()))</f>
        <v/>
      </c>
    </row>
    <row r="3198">
      <c r="F3198">
        <f>F3197+1</f>
        <v/>
      </c>
      <c r="G3198" s="92">
        <f>EXP($C$12+$C$8*_xlfn.NORM.S.INV(RAND()))</f>
        <v/>
      </c>
    </row>
    <row r="3199">
      <c r="F3199">
        <f>F3198+1</f>
        <v/>
      </c>
      <c r="G3199" s="92">
        <f>EXP($C$12+$C$8*_xlfn.NORM.S.INV(RAND()))</f>
        <v/>
      </c>
    </row>
    <row r="3200">
      <c r="F3200">
        <f>F3199+1</f>
        <v/>
      </c>
      <c r="G3200" s="92">
        <f>EXP($C$12+$C$8*_xlfn.NORM.S.INV(RAND()))</f>
        <v/>
      </c>
    </row>
    <row r="3201">
      <c r="F3201">
        <f>F3200+1</f>
        <v/>
      </c>
      <c r="G3201" s="92">
        <f>EXP($C$12+$C$8*_xlfn.NORM.S.INV(RAND()))</f>
        <v/>
      </c>
    </row>
    <row r="3202">
      <c r="F3202">
        <f>F3201+1</f>
        <v/>
      </c>
      <c r="G3202" s="92">
        <f>EXP($C$12+$C$8*_xlfn.NORM.S.INV(RAND()))</f>
        <v/>
      </c>
    </row>
    <row r="3203">
      <c r="F3203">
        <f>F3202+1</f>
        <v/>
      </c>
      <c r="G3203" s="92">
        <f>EXP($C$12+$C$8*_xlfn.NORM.S.INV(RAND()))</f>
        <v/>
      </c>
    </row>
    <row r="3204">
      <c r="F3204">
        <f>F3203+1</f>
        <v/>
      </c>
      <c r="G3204" s="92">
        <f>EXP($C$12+$C$8*_xlfn.NORM.S.INV(RAND()))</f>
        <v/>
      </c>
    </row>
    <row r="3205">
      <c r="F3205">
        <f>F3204+1</f>
        <v/>
      </c>
      <c r="G3205" s="92">
        <f>EXP($C$12+$C$8*_xlfn.NORM.S.INV(RAND()))</f>
        <v/>
      </c>
    </row>
    <row r="3206">
      <c r="F3206">
        <f>F3205+1</f>
        <v/>
      </c>
      <c r="G3206" s="92">
        <f>EXP($C$12+$C$8*_xlfn.NORM.S.INV(RAND()))</f>
        <v/>
      </c>
    </row>
    <row r="3207">
      <c r="F3207">
        <f>F3206+1</f>
        <v/>
      </c>
      <c r="G3207" s="92">
        <f>EXP($C$12+$C$8*_xlfn.NORM.S.INV(RAND()))</f>
        <v/>
      </c>
    </row>
    <row r="3208">
      <c r="F3208">
        <f>F3207+1</f>
        <v/>
      </c>
      <c r="G3208" s="92">
        <f>EXP($C$12+$C$8*_xlfn.NORM.S.INV(RAND()))</f>
        <v/>
      </c>
    </row>
    <row r="3209">
      <c r="F3209">
        <f>F3208+1</f>
        <v/>
      </c>
      <c r="G3209" s="92">
        <f>EXP($C$12+$C$8*_xlfn.NORM.S.INV(RAND()))</f>
        <v/>
      </c>
    </row>
    <row r="3210">
      <c r="F3210">
        <f>F3209+1</f>
        <v/>
      </c>
      <c r="G3210" s="92">
        <f>EXP($C$12+$C$8*_xlfn.NORM.S.INV(RAND()))</f>
        <v/>
      </c>
    </row>
    <row r="3211">
      <c r="F3211">
        <f>F3210+1</f>
        <v/>
      </c>
      <c r="G3211" s="92">
        <f>EXP($C$12+$C$8*_xlfn.NORM.S.INV(RAND()))</f>
        <v/>
      </c>
    </row>
    <row r="3212">
      <c r="F3212">
        <f>F3211+1</f>
        <v/>
      </c>
      <c r="G3212" s="92">
        <f>EXP($C$12+$C$8*_xlfn.NORM.S.INV(RAND()))</f>
        <v/>
      </c>
    </row>
    <row r="3213">
      <c r="F3213">
        <f>F3212+1</f>
        <v/>
      </c>
      <c r="G3213" s="92">
        <f>EXP($C$12+$C$8*_xlfn.NORM.S.INV(RAND()))</f>
        <v/>
      </c>
    </row>
    <row r="3214">
      <c r="F3214">
        <f>F3213+1</f>
        <v/>
      </c>
      <c r="G3214" s="92">
        <f>EXP($C$12+$C$8*_xlfn.NORM.S.INV(RAND()))</f>
        <v/>
      </c>
    </row>
    <row r="3215">
      <c r="F3215">
        <f>F3214+1</f>
        <v/>
      </c>
      <c r="G3215" s="92">
        <f>EXP($C$12+$C$8*_xlfn.NORM.S.INV(RAND()))</f>
        <v/>
      </c>
    </row>
    <row r="3216">
      <c r="F3216">
        <f>F3215+1</f>
        <v/>
      </c>
      <c r="G3216" s="92">
        <f>EXP($C$12+$C$8*_xlfn.NORM.S.INV(RAND()))</f>
        <v/>
      </c>
    </row>
    <row r="3217">
      <c r="F3217">
        <f>F3216+1</f>
        <v/>
      </c>
      <c r="G3217" s="92">
        <f>EXP($C$12+$C$8*_xlfn.NORM.S.INV(RAND()))</f>
        <v/>
      </c>
    </row>
    <row r="3218">
      <c r="F3218">
        <f>F3217+1</f>
        <v/>
      </c>
      <c r="G3218" s="92">
        <f>EXP($C$12+$C$8*_xlfn.NORM.S.INV(RAND()))</f>
        <v/>
      </c>
    </row>
    <row r="3219">
      <c r="F3219">
        <f>F3218+1</f>
        <v/>
      </c>
      <c r="G3219" s="92">
        <f>EXP($C$12+$C$8*_xlfn.NORM.S.INV(RAND()))</f>
        <v/>
      </c>
    </row>
    <row r="3220">
      <c r="F3220">
        <f>F3219+1</f>
        <v/>
      </c>
      <c r="G3220" s="92">
        <f>EXP($C$12+$C$8*_xlfn.NORM.S.INV(RAND()))</f>
        <v/>
      </c>
    </row>
    <row r="3221">
      <c r="F3221">
        <f>F3220+1</f>
        <v/>
      </c>
      <c r="G3221" s="92">
        <f>EXP($C$12+$C$8*_xlfn.NORM.S.INV(RAND()))</f>
        <v/>
      </c>
    </row>
    <row r="3222">
      <c r="F3222">
        <f>F3221+1</f>
        <v/>
      </c>
      <c r="G3222" s="92">
        <f>EXP($C$12+$C$8*_xlfn.NORM.S.INV(RAND()))</f>
        <v/>
      </c>
    </row>
    <row r="3223">
      <c r="F3223">
        <f>F3222+1</f>
        <v/>
      </c>
      <c r="G3223" s="92">
        <f>EXP($C$12+$C$8*_xlfn.NORM.S.INV(RAND()))</f>
        <v/>
      </c>
    </row>
    <row r="3224">
      <c r="F3224">
        <f>F3223+1</f>
        <v/>
      </c>
      <c r="G3224" s="92">
        <f>EXP($C$12+$C$8*_xlfn.NORM.S.INV(RAND()))</f>
        <v/>
      </c>
    </row>
    <row r="3225">
      <c r="F3225">
        <f>F3224+1</f>
        <v/>
      </c>
      <c r="G3225" s="92">
        <f>EXP($C$12+$C$8*_xlfn.NORM.S.INV(RAND()))</f>
        <v/>
      </c>
    </row>
    <row r="3226">
      <c r="F3226">
        <f>F3225+1</f>
        <v/>
      </c>
      <c r="G3226" s="92">
        <f>EXP($C$12+$C$8*_xlfn.NORM.S.INV(RAND()))</f>
        <v/>
      </c>
    </row>
    <row r="3227">
      <c r="F3227">
        <f>F3226+1</f>
        <v/>
      </c>
      <c r="G3227" s="92">
        <f>EXP($C$12+$C$8*_xlfn.NORM.S.INV(RAND()))</f>
        <v/>
      </c>
    </row>
    <row r="3228">
      <c r="F3228">
        <f>F3227+1</f>
        <v/>
      </c>
      <c r="G3228" s="92">
        <f>EXP($C$12+$C$8*_xlfn.NORM.S.INV(RAND()))</f>
        <v/>
      </c>
    </row>
    <row r="3229">
      <c r="F3229">
        <f>F3228+1</f>
        <v/>
      </c>
      <c r="G3229" s="92">
        <f>EXP($C$12+$C$8*_xlfn.NORM.S.INV(RAND()))</f>
        <v/>
      </c>
    </row>
    <row r="3230">
      <c r="F3230">
        <f>F3229+1</f>
        <v/>
      </c>
      <c r="G3230" s="92">
        <f>EXP($C$12+$C$8*_xlfn.NORM.S.INV(RAND()))</f>
        <v/>
      </c>
    </row>
    <row r="3231">
      <c r="F3231">
        <f>F3230+1</f>
        <v/>
      </c>
      <c r="G3231" s="92">
        <f>EXP($C$12+$C$8*_xlfn.NORM.S.INV(RAND()))</f>
        <v/>
      </c>
    </row>
    <row r="3232">
      <c r="F3232">
        <f>F3231+1</f>
        <v/>
      </c>
      <c r="G3232" s="92">
        <f>EXP($C$12+$C$8*_xlfn.NORM.S.INV(RAND()))</f>
        <v/>
      </c>
    </row>
    <row r="3233">
      <c r="F3233">
        <f>F3232+1</f>
        <v/>
      </c>
      <c r="G3233" s="92">
        <f>EXP($C$12+$C$8*_xlfn.NORM.S.INV(RAND()))</f>
        <v/>
      </c>
    </row>
    <row r="3234">
      <c r="F3234">
        <f>F3233+1</f>
        <v/>
      </c>
      <c r="G3234" s="92">
        <f>EXP($C$12+$C$8*_xlfn.NORM.S.INV(RAND()))</f>
        <v/>
      </c>
    </row>
    <row r="3235">
      <c r="F3235">
        <f>F3234+1</f>
        <v/>
      </c>
      <c r="G3235" s="92">
        <f>EXP($C$12+$C$8*_xlfn.NORM.S.INV(RAND()))</f>
        <v/>
      </c>
    </row>
    <row r="3236">
      <c r="F3236">
        <f>F3235+1</f>
        <v/>
      </c>
      <c r="G3236" s="92">
        <f>EXP($C$12+$C$8*_xlfn.NORM.S.INV(RAND()))</f>
        <v/>
      </c>
    </row>
    <row r="3237">
      <c r="F3237">
        <f>F3236+1</f>
        <v/>
      </c>
      <c r="G3237" s="92">
        <f>EXP($C$12+$C$8*_xlfn.NORM.S.INV(RAND()))</f>
        <v/>
      </c>
    </row>
    <row r="3238">
      <c r="F3238">
        <f>F3237+1</f>
        <v/>
      </c>
      <c r="G3238" s="92">
        <f>EXP($C$12+$C$8*_xlfn.NORM.S.INV(RAND()))</f>
        <v/>
      </c>
    </row>
    <row r="3239">
      <c r="F3239">
        <f>F3238+1</f>
        <v/>
      </c>
      <c r="G3239" s="92">
        <f>EXP($C$12+$C$8*_xlfn.NORM.S.INV(RAND()))</f>
        <v/>
      </c>
    </row>
    <row r="3240">
      <c r="F3240">
        <f>F3239+1</f>
        <v/>
      </c>
      <c r="G3240" s="92">
        <f>EXP($C$12+$C$8*_xlfn.NORM.S.INV(RAND()))</f>
        <v/>
      </c>
    </row>
    <row r="3241">
      <c r="F3241">
        <f>F3240+1</f>
        <v/>
      </c>
      <c r="G3241" s="92">
        <f>EXP($C$12+$C$8*_xlfn.NORM.S.INV(RAND()))</f>
        <v/>
      </c>
    </row>
    <row r="3242">
      <c r="F3242">
        <f>F3241+1</f>
        <v/>
      </c>
      <c r="G3242" s="92">
        <f>EXP($C$12+$C$8*_xlfn.NORM.S.INV(RAND()))</f>
        <v/>
      </c>
    </row>
    <row r="3243">
      <c r="F3243">
        <f>F3242+1</f>
        <v/>
      </c>
      <c r="G3243" s="92">
        <f>EXP($C$12+$C$8*_xlfn.NORM.S.INV(RAND()))</f>
        <v/>
      </c>
    </row>
    <row r="3244">
      <c r="F3244">
        <f>F3243+1</f>
        <v/>
      </c>
      <c r="G3244" s="92">
        <f>EXP($C$12+$C$8*_xlfn.NORM.S.INV(RAND()))</f>
        <v/>
      </c>
    </row>
    <row r="3245">
      <c r="F3245">
        <f>F3244+1</f>
        <v/>
      </c>
      <c r="G3245" s="92">
        <f>EXP($C$12+$C$8*_xlfn.NORM.S.INV(RAND()))</f>
        <v/>
      </c>
    </row>
    <row r="3246">
      <c r="F3246">
        <f>F3245+1</f>
        <v/>
      </c>
      <c r="G3246" s="92">
        <f>EXP($C$12+$C$8*_xlfn.NORM.S.INV(RAND()))</f>
        <v/>
      </c>
    </row>
    <row r="3247">
      <c r="F3247">
        <f>F3246+1</f>
        <v/>
      </c>
      <c r="G3247" s="92">
        <f>EXP($C$12+$C$8*_xlfn.NORM.S.INV(RAND()))</f>
        <v/>
      </c>
    </row>
    <row r="3248">
      <c r="F3248">
        <f>F3247+1</f>
        <v/>
      </c>
      <c r="G3248" s="92">
        <f>EXP($C$12+$C$8*_xlfn.NORM.S.INV(RAND()))</f>
        <v/>
      </c>
    </row>
    <row r="3249">
      <c r="F3249">
        <f>F3248+1</f>
        <v/>
      </c>
      <c r="G3249" s="92">
        <f>EXP($C$12+$C$8*_xlfn.NORM.S.INV(RAND()))</f>
        <v/>
      </c>
    </row>
    <row r="3250">
      <c r="F3250">
        <f>F3249+1</f>
        <v/>
      </c>
      <c r="G3250" s="92">
        <f>EXP($C$12+$C$8*_xlfn.NORM.S.INV(RAND()))</f>
        <v/>
      </c>
    </row>
    <row r="3251">
      <c r="F3251">
        <f>F3250+1</f>
        <v/>
      </c>
      <c r="G3251" s="92">
        <f>EXP($C$12+$C$8*_xlfn.NORM.S.INV(RAND()))</f>
        <v/>
      </c>
    </row>
    <row r="3252">
      <c r="F3252">
        <f>F3251+1</f>
        <v/>
      </c>
      <c r="G3252" s="92">
        <f>EXP($C$12+$C$8*_xlfn.NORM.S.INV(RAND()))</f>
        <v/>
      </c>
    </row>
    <row r="3253">
      <c r="F3253">
        <f>F3252+1</f>
        <v/>
      </c>
      <c r="G3253" s="92">
        <f>EXP($C$12+$C$8*_xlfn.NORM.S.INV(RAND()))</f>
        <v/>
      </c>
    </row>
    <row r="3254">
      <c r="F3254">
        <f>F3253+1</f>
        <v/>
      </c>
      <c r="G3254" s="92">
        <f>EXP($C$12+$C$8*_xlfn.NORM.S.INV(RAND()))</f>
        <v/>
      </c>
    </row>
    <row r="3255">
      <c r="F3255">
        <f>F3254+1</f>
        <v/>
      </c>
      <c r="G3255" s="92">
        <f>EXP($C$12+$C$8*_xlfn.NORM.S.INV(RAND()))</f>
        <v/>
      </c>
    </row>
    <row r="3256">
      <c r="F3256">
        <f>F3255+1</f>
        <v/>
      </c>
      <c r="G3256" s="92">
        <f>EXP($C$12+$C$8*_xlfn.NORM.S.INV(RAND()))</f>
        <v/>
      </c>
    </row>
    <row r="3257">
      <c r="F3257">
        <f>F3256+1</f>
        <v/>
      </c>
      <c r="G3257" s="92">
        <f>EXP($C$12+$C$8*_xlfn.NORM.S.INV(RAND()))</f>
        <v/>
      </c>
    </row>
    <row r="3258">
      <c r="F3258">
        <f>F3257+1</f>
        <v/>
      </c>
      <c r="G3258" s="92">
        <f>EXP($C$12+$C$8*_xlfn.NORM.S.INV(RAND()))</f>
        <v/>
      </c>
    </row>
    <row r="3259">
      <c r="F3259">
        <f>F3258+1</f>
        <v/>
      </c>
      <c r="G3259" s="92">
        <f>EXP($C$12+$C$8*_xlfn.NORM.S.INV(RAND()))</f>
        <v/>
      </c>
    </row>
    <row r="3260">
      <c r="F3260">
        <f>F3259+1</f>
        <v/>
      </c>
      <c r="G3260" s="92">
        <f>EXP($C$12+$C$8*_xlfn.NORM.S.INV(RAND()))</f>
        <v/>
      </c>
    </row>
    <row r="3261">
      <c r="F3261">
        <f>F3260+1</f>
        <v/>
      </c>
      <c r="G3261" s="92">
        <f>EXP($C$12+$C$8*_xlfn.NORM.S.INV(RAND()))</f>
        <v/>
      </c>
    </row>
    <row r="3262">
      <c r="F3262">
        <f>F3261+1</f>
        <v/>
      </c>
      <c r="G3262" s="92">
        <f>EXP($C$12+$C$8*_xlfn.NORM.S.INV(RAND()))</f>
        <v/>
      </c>
    </row>
    <row r="3263">
      <c r="F3263">
        <f>F3262+1</f>
        <v/>
      </c>
      <c r="G3263" s="92">
        <f>EXP($C$12+$C$8*_xlfn.NORM.S.INV(RAND()))</f>
        <v/>
      </c>
    </row>
    <row r="3264">
      <c r="F3264">
        <f>F3263+1</f>
        <v/>
      </c>
      <c r="G3264" s="92">
        <f>EXP($C$12+$C$8*_xlfn.NORM.S.INV(RAND()))</f>
        <v/>
      </c>
    </row>
    <row r="3265">
      <c r="F3265">
        <f>F3264+1</f>
        <v/>
      </c>
      <c r="G3265" s="92">
        <f>EXP($C$12+$C$8*_xlfn.NORM.S.INV(RAND()))</f>
        <v/>
      </c>
    </row>
    <row r="3266">
      <c r="F3266">
        <f>F3265+1</f>
        <v/>
      </c>
      <c r="G3266" s="92">
        <f>EXP($C$12+$C$8*_xlfn.NORM.S.INV(RAND()))</f>
        <v/>
      </c>
    </row>
    <row r="3267">
      <c r="F3267">
        <f>F3266+1</f>
        <v/>
      </c>
      <c r="G3267" s="92">
        <f>EXP($C$12+$C$8*_xlfn.NORM.S.INV(RAND()))</f>
        <v/>
      </c>
    </row>
    <row r="3268">
      <c r="F3268">
        <f>F3267+1</f>
        <v/>
      </c>
      <c r="G3268" s="92">
        <f>EXP($C$12+$C$8*_xlfn.NORM.S.INV(RAND()))</f>
        <v/>
      </c>
    </row>
    <row r="3269">
      <c r="F3269">
        <f>F3268+1</f>
        <v/>
      </c>
      <c r="G3269" s="92">
        <f>EXP($C$12+$C$8*_xlfn.NORM.S.INV(RAND()))</f>
        <v/>
      </c>
    </row>
    <row r="3270">
      <c r="F3270">
        <f>F3269+1</f>
        <v/>
      </c>
      <c r="G3270" s="92">
        <f>EXP($C$12+$C$8*_xlfn.NORM.S.INV(RAND()))</f>
        <v/>
      </c>
    </row>
    <row r="3271">
      <c r="F3271">
        <f>F3270+1</f>
        <v/>
      </c>
      <c r="G3271" s="92">
        <f>EXP($C$12+$C$8*_xlfn.NORM.S.INV(RAND()))</f>
        <v/>
      </c>
    </row>
    <row r="3272">
      <c r="F3272">
        <f>F3271+1</f>
        <v/>
      </c>
      <c r="G3272" s="92">
        <f>EXP($C$12+$C$8*_xlfn.NORM.S.INV(RAND()))</f>
        <v/>
      </c>
    </row>
    <row r="3273">
      <c r="F3273">
        <f>F3272+1</f>
        <v/>
      </c>
      <c r="G3273" s="92">
        <f>EXP($C$12+$C$8*_xlfn.NORM.S.INV(RAND()))</f>
        <v/>
      </c>
    </row>
    <row r="3274">
      <c r="F3274">
        <f>F3273+1</f>
        <v/>
      </c>
      <c r="G3274" s="92">
        <f>EXP($C$12+$C$8*_xlfn.NORM.S.INV(RAND()))</f>
        <v/>
      </c>
    </row>
    <row r="3275">
      <c r="F3275">
        <f>F3274+1</f>
        <v/>
      </c>
      <c r="G3275" s="92">
        <f>EXP($C$12+$C$8*_xlfn.NORM.S.INV(RAND()))</f>
        <v/>
      </c>
    </row>
    <row r="3276">
      <c r="F3276">
        <f>F3275+1</f>
        <v/>
      </c>
      <c r="G3276" s="92">
        <f>EXP($C$12+$C$8*_xlfn.NORM.S.INV(RAND()))</f>
        <v/>
      </c>
    </row>
    <row r="3277">
      <c r="F3277">
        <f>F3276+1</f>
        <v/>
      </c>
      <c r="G3277" s="92">
        <f>EXP($C$12+$C$8*_xlfn.NORM.S.INV(RAND()))</f>
        <v/>
      </c>
    </row>
    <row r="3278">
      <c r="F3278">
        <f>F3277+1</f>
        <v/>
      </c>
      <c r="G3278" s="92">
        <f>EXP($C$12+$C$8*_xlfn.NORM.S.INV(RAND()))</f>
        <v/>
      </c>
    </row>
    <row r="3279">
      <c r="F3279">
        <f>F3278+1</f>
        <v/>
      </c>
      <c r="G3279" s="92">
        <f>EXP($C$12+$C$8*_xlfn.NORM.S.INV(RAND()))</f>
        <v/>
      </c>
    </row>
    <row r="3280">
      <c r="F3280">
        <f>F3279+1</f>
        <v/>
      </c>
      <c r="G3280" s="92">
        <f>EXP($C$12+$C$8*_xlfn.NORM.S.INV(RAND()))</f>
        <v/>
      </c>
    </row>
    <row r="3281">
      <c r="F3281">
        <f>F3280+1</f>
        <v/>
      </c>
      <c r="G3281" s="92">
        <f>EXP($C$12+$C$8*_xlfn.NORM.S.INV(RAND()))</f>
        <v/>
      </c>
    </row>
    <row r="3282">
      <c r="F3282">
        <f>F3281+1</f>
        <v/>
      </c>
      <c r="G3282" s="92">
        <f>EXP($C$12+$C$8*_xlfn.NORM.S.INV(RAND()))</f>
        <v/>
      </c>
    </row>
    <row r="3283">
      <c r="F3283">
        <f>F3282+1</f>
        <v/>
      </c>
      <c r="G3283" s="92">
        <f>EXP($C$12+$C$8*_xlfn.NORM.S.INV(RAND()))</f>
        <v/>
      </c>
    </row>
    <row r="3284">
      <c r="F3284">
        <f>F3283+1</f>
        <v/>
      </c>
      <c r="G3284" s="92">
        <f>EXP($C$12+$C$8*_xlfn.NORM.S.INV(RAND()))</f>
        <v/>
      </c>
    </row>
    <row r="3285">
      <c r="F3285">
        <f>F3284+1</f>
        <v/>
      </c>
      <c r="G3285" s="92">
        <f>EXP($C$12+$C$8*_xlfn.NORM.S.INV(RAND()))</f>
        <v/>
      </c>
    </row>
    <row r="3286">
      <c r="F3286">
        <f>F3285+1</f>
        <v/>
      </c>
      <c r="G3286" s="92">
        <f>EXP($C$12+$C$8*_xlfn.NORM.S.INV(RAND()))</f>
        <v/>
      </c>
    </row>
    <row r="3287">
      <c r="F3287">
        <f>F3286+1</f>
        <v/>
      </c>
      <c r="G3287" s="92">
        <f>EXP($C$12+$C$8*_xlfn.NORM.S.INV(RAND()))</f>
        <v/>
      </c>
    </row>
    <row r="3288">
      <c r="F3288">
        <f>F3287+1</f>
        <v/>
      </c>
      <c r="G3288" s="92">
        <f>EXP($C$12+$C$8*_xlfn.NORM.S.INV(RAND()))</f>
        <v/>
      </c>
    </row>
    <row r="3289">
      <c r="F3289">
        <f>F3288+1</f>
        <v/>
      </c>
      <c r="G3289" s="92">
        <f>EXP($C$12+$C$8*_xlfn.NORM.S.INV(RAND()))</f>
        <v/>
      </c>
    </row>
    <row r="3290">
      <c r="F3290">
        <f>F3289+1</f>
        <v/>
      </c>
      <c r="G3290" s="92">
        <f>EXP($C$12+$C$8*_xlfn.NORM.S.INV(RAND()))</f>
        <v/>
      </c>
    </row>
    <row r="3291">
      <c r="F3291">
        <f>F3290+1</f>
        <v/>
      </c>
      <c r="G3291" s="92">
        <f>EXP($C$12+$C$8*_xlfn.NORM.S.INV(RAND()))</f>
        <v/>
      </c>
    </row>
    <row r="3292">
      <c r="F3292">
        <f>F3291+1</f>
        <v/>
      </c>
      <c r="G3292" s="92">
        <f>EXP($C$12+$C$8*_xlfn.NORM.S.INV(RAND()))</f>
        <v/>
      </c>
    </row>
    <row r="3293">
      <c r="F3293">
        <f>F3292+1</f>
        <v/>
      </c>
      <c r="G3293" s="92">
        <f>EXP($C$12+$C$8*_xlfn.NORM.S.INV(RAND()))</f>
        <v/>
      </c>
    </row>
    <row r="3294">
      <c r="F3294">
        <f>F3293+1</f>
        <v/>
      </c>
      <c r="G3294" s="92">
        <f>EXP($C$12+$C$8*_xlfn.NORM.S.INV(RAND()))</f>
        <v/>
      </c>
    </row>
    <row r="3295">
      <c r="F3295">
        <f>F3294+1</f>
        <v/>
      </c>
      <c r="G3295" s="92">
        <f>EXP($C$12+$C$8*_xlfn.NORM.S.INV(RAND()))</f>
        <v/>
      </c>
    </row>
    <row r="3296">
      <c r="F3296">
        <f>F3295+1</f>
        <v/>
      </c>
      <c r="G3296" s="92">
        <f>EXP($C$12+$C$8*_xlfn.NORM.S.INV(RAND()))</f>
        <v/>
      </c>
    </row>
    <row r="3297">
      <c r="F3297">
        <f>F3296+1</f>
        <v/>
      </c>
      <c r="G3297" s="92">
        <f>EXP($C$12+$C$8*_xlfn.NORM.S.INV(RAND()))</f>
        <v/>
      </c>
    </row>
    <row r="3298">
      <c r="F3298">
        <f>F3297+1</f>
        <v/>
      </c>
      <c r="G3298" s="92">
        <f>EXP($C$12+$C$8*_xlfn.NORM.S.INV(RAND()))</f>
        <v/>
      </c>
    </row>
    <row r="3299">
      <c r="F3299">
        <f>F3298+1</f>
        <v/>
      </c>
      <c r="G3299" s="92">
        <f>EXP($C$12+$C$8*_xlfn.NORM.S.INV(RAND()))</f>
        <v/>
      </c>
    </row>
    <row r="3300">
      <c r="F3300">
        <f>F3299+1</f>
        <v/>
      </c>
      <c r="G3300" s="92">
        <f>EXP($C$12+$C$8*_xlfn.NORM.S.INV(RAND()))</f>
        <v/>
      </c>
    </row>
    <row r="3301">
      <c r="F3301">
        <f>F3300+1</f>
        <v/>
      </c>
      <c r="G3301" s="92">
        <f>EXP($C$12+$C$8*_xlfn.NORM.S.INV(RAND()))</f>
        <v/>
      </c>
    </row>
    <row r="3302">
      <c r="F3302">
        <f>F3301+1</f>
        <v/>
      </c>
      <c r="G3302" s="92">
        <f>EXP($C$12+$C$8*_xlfn.NORM.S.INV(RAND()))</f>
        <v/>
      </c>
    </row>
    <row r="3303">
      <c r="F3303">
        <f>F3302+1</f>
        <v/>
      </c>
      <c r="G3303" s="92">
        <f>EXP($C$12+$C$8*_xlfn.NORM.S.INV(RAND()))</f>
        <v/>
      </c>
    </row>
    <row r="3304">
      <c r="F3304">
        <f>F3303+1</f>
        <v/>
      </c>
      <c r="G3304" s="92">
        <f>EXP($C$12+$C$8*_xlfn.NORM.S.INV(RAND()))</f>
        <v/>
      </c>
    </row>
    <row r="3305">
      <c r="F3305">
        <f>F3304+1</f>
        <v/>
      </c>
      <c r="G3305" s="92">
        <f>EXP($C$12+$C$8*_xlfn.NORM.S.INV(RAND()))</f>
        <v/>
      </c>
    </row>
    <row r="3306">
      <c r="F3306">
        <f>F3305+1</f>
        <v/>
      </c>
      <c r="G3306" s="92">
        <f>EXP($C$12+$C$8*_xlfn.NORM.S.INV(RAND()))</f>
        <v/>
      </c>
    </row>
    <row r="3307">
      <c r="F3307">
        <f>F3306+1</f>
        <v/>
      </c>
      <c r="G3307" s="92">
        <f>EXP($C$12+$C$8*_xlfn.NORM.S.INV(RAND()))</f>
        <v/>
      </c>
    </row>
    <row r="3308">
      <c r="F3308">
        <f>F3307+1</f>
        <v/>
      </c>
      <c r="G3308" s="92">
        <f>EXP($C$12+$C$8*_xlfn.NORM.S.INV(RAND()))</f>
        <v/>
      </c>
    </row>
    <row r="3309">
      <c r="F3309">
        <f>F3308+1</f>
        <v/>
      </c>
      <c r="G3309" s="92">
        <f>EXP($C$12+$C$8*_xlfn.NORM.S.INV(RAND()))</f>
        <v/>
      </c>
    </row>
    <row r="3310">
      <c r="F3310">
        <f>F3309+1</f>
        <v/>
      </c>
      <c r="G3310" s="92">
        <f>EXP($C$12+$C$8*_xlfn.NORM.S.INV(RAND()))</f>
        <v/>
      </c>
    </row>
    <row r="3311">
      <c r="F3311">
        <f>F3310+1</f>
        <v/>
      </c>
      <c r="G3311" s="92">
        <f>EXP($C$12+$C$8*_xlfn.NORM.S.INV(RAND()))</f>
        <v/>
      </c>
    </row>
    <row r="3312">
      <c r="F3312">
        <f>F3311+1</f>
        <v/>
      </c>
      <c r="G3312" s="92">
        <f>EXP($C$12+$C$8*_xlfn.NORM.S.INV(RAND()))</f>
        <v/>
      </c>
    </row>
    <row r="3313">
      <c r="F3313">
        <f>F3312+1</f>
        <v/>
      </c>
      <c r="G3313" s="92">
        <f>EXP($C$12+$C$8*_xlfn.NORM.S.INV(RAND()))</f>
        <v/>
      </c>
    </row>
    <row r="3314">
      <c r="F3314">
        <f>F3313+1</f>
        <v/>
      </c>
      <c r="G3314" s="92">
        <f>EXP($C$12+$C$8*_xlfn.NORM.S.INV(RAND()))</f>
        <v/>
      </c>
    </row>
    <row r="3315">
      <c r="F3315">
        <f>F3314+1</f>
        <v/>
      </c>
      <c r="G3315" s="92">
        <f>EXP($C$12+$C$8*_xlfn.NORM.S.INV(RAND()))</f>
        <v/>
      </c>
    </row>
    <row r="3316">
      <c r="F3316">
        <f>F3315+1</f>
        <v/>
      </c>
      <c r="G3316" s="92">
        <f>EXP($C$12+$C$8*_xlfn.NORM.S.INV(RAND()))</f>
        <v/>
      </c>
    </row>
    <row r="3317">
      <c r="F3317">
        <f>F3316+1</f>
        <v/>
      </c>
      <c r="G3317" s="92">
        <f>EXP($C$12+$C$8*_xlfn.NORM.S.INV(RAND()))</f>
        <v/>
      </c>
    </row>
    <row r="3318">
      <c r="F3318">
        <f>F3317+1</f>
        <v/>
      </c>
      <c r="G3318" s="92">
        <f>EXP($C$12+$C$8*_xlfn.NORM.S.INV(RAND()))</f>
        <v/>
      </c>
    </row>
    <row r="3319">
      <c r="F3319">
        <f>F3318+1</f>
        <v/>
      </c>
      <c r="G3319" s="92">
        <f>EXP($C$12+$C$8*_xlfn.NORM.S.INV(RAND()))</f>
        <v/>
      </c>
    </row>
    <row r="3320">
      <c r="F3320">
        <f>F3319+1</f>
        <v/>
      </c>
      <c r="G3320" s="92">
        <f>EXP($C$12+$C$8*_xlfn.NORM.S.INV(RAND()))</f>
        <v/>
      </c>
    </row>
    <row r="3321">
      <c r="F3321">
        <f>F3320+1</f>
        <v/>
      </c>
      <c r="G3321" s="92">
        <f>EXP($C$12+$C$8*_xlfn.NORM.S.INV(RAND()))</f>
        <v/>
      </c>
    </row>
    <row r="3322">
      <c r="F3322">
        <f>F3321+1</f>
        <v/>
      </c>
      <c r="G3322" s="92">
        <f>EXP($C$12+$C$8*_xlfn.NORM.S.INV(RAND()))</f>
        <v/>
      </c>
    </row>
    <row r="3323">
      <c r="F3323">
        <f>F3322+1</f>
        <v/>
      </c>
      <c r="G3323" s="92">
        <f>EXP($C$12+$C$8*_xlfn.NORM.S.INV(RAND()))</f>
        <v/>
      </c>
    </row>
    <row r="3324">
      <c r="F3324">
        <f>F3323+1</f>
        <v/>
      </c>
      <c r="G3324" s="92">
        <f>EXP($C$12+$C$8*_xlfn.NORM.S.INV(RAND()))</f>
        <v/>
      </c>
    </row>
    <row r="3325">
      <c r="F3325">
        <f>F3324+1</f>
        <v/>
      </c>
      <c r="G3325" s="92">
        <f>EXP($C$12+$C$8*_xlfn.NORM.S.INV(RAND()))</f>
        <v/>
      </c>
    </row>
    <row r="3326">
      <c r="F3326">
        <f>F3325+1</f>
        <v/>
      </c>
      <c r="G3326" s="92">
        <f>EXP($C$12+$C$8*_xlfn.NORM.S.INV(RAND()))</f>
        <v/>
      </c>
    </row>
    <row r="3327">
      <c r="F3327">
        <f>F3326+1</f>
        <v/>
      </c>
      <c r="G3327" s="92">
        <f>EXP($C$12+$C$8*_xlfn.NORM.S.INV(RAND()))</f>
        <v/>
      </c>
    </row>
    <row r="3328">
      <c r="F3328">
        <f>F3327+1</f>
        <v/>
      </c>
      <c r="G3328" s="92">
        <f>EXP($C$12+$C$8*_xlfn.NORM.S.INV(RAND()))</f>
        <v/>
      </c>
    </row>
    <row r="3329">
      <c r="F3329">
        <f>F3328+1</f>
        <v/>
      </c>
      <c r="G3329" s="92">
        <f>EXP($C$12+$C$8*_xlfn.NORM.S.INV(RAND()))</f>
        <v/>
      </c>
    </row>
    <row r="3330">
      <c r="F3330">
        <f>F3329+1</f>
        <v/>
      </c>
      <c r="G3330" s="92">
        <f>EXP($C$12+$C$8*_xlfn.NORM.S.INV(RAND()))</f>
        <v/>
      </c>
    </row>
    <row r="3331">
      <c r="F3331">
        <f>F3330+1</f>
        <v/>
      </c>
      <c r="G3331" s="92">
        <f>EXP($C$12+$C$8*_xlfn.NORM.S.INV(RAND()))</f>
        <v/>
      </c>
    </row>
    <row r="3332">
      <c r="F3332">
        <f>F3331+1</f>
        <v/>
      </c>
      <c r="G3332" s="92">
        <f>EXP($C$12+$C$8*_xlfn.NORM.S.INV(RAND()))</f>
        <v/>
      </c>
    </row>
    <row r="3333">
      <c r="F3333">
        <f>F3332+1</f>
        <v/>
      </c>
      <c r="G3333" s="92">
        <f>EXP($C$12+$C$8*_xlfn.NORM.S.INV(RAND()))</f>
        <v/>
      </c>
    </row>
    <row r="3334">
      <c r="F3334">
        <f>F3333+1</f>
        <v/>
      </c>
      <c r="G3334" s="92">
        <f>EXP($C$12+$C$8*_xlfn.NORM.S.INV(RAND()))</f>
        <v/>
      </c>
    </row>
    <row r="3335">
      <c r="F3335">
        <f>F3334+1</f>
        <v/>
      </c>
      <c r="G3335" s="92">
        <f>EXP($C$12+$C$8*_xlfn.NORM.S.INV(RAND()))</f>
        <v/>
      </c>
    </row>
    <row r="3336">
      <c r="F3336">
        <f>F3335+1</f>
        <v/>
      </c>
      <c r="G3336" s="92">
        <f>EXP($C$12+$C$8*_xlfn.NORM.S.INV(RAND()))</f>
        <v/>
      </c>
    </row>
    <row r="3337">
      <c r="F3337">
        <f>F3336+1</f>
        <v/>
      </c>
      <c r="G3337" s="92">
        <f>EXP($C$12+$C$8*_xlfn.NORM.S.INV(RAND()))</f>
        <v/>
      </c>
    </row>
    <row r="3338">
      <c r="F3338">
        <f>F3337+1</f>
        <v/>
      </c>
      <c r="G3338" s="92">
        <f>EXP($C$12+$C$8*_xlfn.NORM.S.INV(RAND()))</f>
        <v/>
      </c>
    </row>
    <row r="3339">
      <c r="F3339">
        <f>F3338+1</f>
        <v/>
      </c>
      <c r="G3339" s="92">
        <f>EXP($C$12+$C$8*_xlfn.NORM.S.INV(RAND()))</f>
        <v/>
      </c>
    </row>
    <row r="3340">
      <c r="F3340">
        <f>F3339+1</f>
        <v/>
      </c>
      <c r="G3340" s="92">
        <f>EXP($C$12+$C$8*_xlfn.NORM.S.INV(RAND()))</f>
        <v/>
      </c>
    </row>
    <row r="3341">
      <c r="F3341">
        <f>F3340+1</f>
        <v/>
      </c>
      <c r="G3341" s="92">
        <f>EXP($C$12+$C$8*_xlfn.NORM.S.INV(RAND()))</f>
        <v/>
      </c>
    </row>
    <row r="3342">
      <c r="F3342">
        <f>F3341+1</f>
        <v/>
      </c>
      <c r="G3342" s="92">
        <f>EXP($C$12+$C$8*_xlfn.NORM.S.INV(RAND()))</f>
        <v/>
      </c>
    </row>
    <row r="3343">
      <c r="F3343">
        <f>F3342+1</f>
        <v/>
      </c>
      <c r="G3343" s="92">
        <f>EXP($C$12+$C$8*_xlfn.NORM.S.INV(RAND()))</f>
        <v/>
      </c>
    </row>
    <row r="3344">
      <c r="F3344">
        <f>F3343+1</f>
        <v/>
      </c>
      <c r="G3344" s="92">
        <f>EXP($C$12+$C$8*_xlfn.NORM.S.INV(RAND()))</f>
        <v/>
      </c>
    </row>
    <row r="3345">
      <c r="F3345">
        <f>F3344+1</f>
        <v/>
      </c>
      <c r="G3345" s="92">
        <f>EXP($C$12+$C$8*_xlfn.NORM.S.INV(RAND()))</f>
        <v/>
      </c>
    </row>
    <row r="3346">
      <c r="F3346">
        <f>F3345+1</f>
        <v/>
      </c>
      <c r="G3346" s="92">
        <f>EXP($C$12+$C$8*_xlfn.NORM.S.INV(RAND()))</f>
        <v/>
      </c>
    </row>
    <row r="3347">
      <c r="F3347">
        <f>F3346+1</f>
        <v/>
      </c>
      <c r="G3347" s="92">
        <f>EXP($C$12+$C$8*_xlfn.NORM.S.INV(RAND()))</f>
        <v/>
      </c>
    </row>
    <row r="3348">
      <c r="F3348">
        <f>F3347+1</f>
        <v/>
      </c>
      <c r="G3348" s="92">
        <f>EXP($C$12+$C$8*_xlfn.NORM.S.INV(RAND()))</f>
        <v/>
      </c>
    </row>
    <row r="3349">
      <c r="F3349">
        <f>F3348+1</f>
        <v/>
      </c>
      <c r="G3349" s="92">
        <f>EXP($C$12+$C$8*_xlfn.NORM.S.INV(RAND()))</f>
        <v/>
      </c>
    </row>
    <row r="3350">
      <c r="F3350">
        <f>F3349+1</f>
        <v/>
      </c>
      <c r="G3350" s="92">
        <f>EXP($C$12+$C$8*_xlfn.NORM.S.INV(RAND()))</f>
        <v/>
      </c>
    </row>
    <row r="3351">
      <c r="F3351">
        <f>F3350+1</f>
        <v/>
      </c>
      <c r="G3351" s="92">
        <f>EXP($C$12+$C$8*_xlfn.NORM.S.INV(RAND()))</f>
        <v/>
      </c>
    </row>
    <row r="3352">
      <c r="F3352">
        <f>F3351+1</f>
        <v/>
      </c>
      <c r="G3352" s="92">
        <f>EXP($C$12+$C$8*_xlfn.NORM.S.INV(RAND()))</f>
        <v/>
      </c>
    </row>
    <row r="3353">
      <c r="F3353">
        <f>F3352+1</f>
        <v/>
      </c>
      <c r="G3353" s="92">
        <f>EXP($C$12+$C$8*_xlfn.NORM.S.INV(RAND()))</f>
        <v/>
      </c>
    </row>
    <row r="3354">
      <c r="F3354">
        <f>F3353+1</f>
        <v/>
      </c>
      <c r="G3354" s="92">
        <f>EXP($C$12+$C$8*_xlfn.NORM.S.INV(RAND()))</f>
        <v/>
      </c>
    </row>
    <row r="3355">
      <c r="F3355">
        <f>F3354+1</f>
        <v/>
      </c>
      <c r="G3355" s="92">
        <f>EXP($C$12+$C$8*_xlfn.NORM.S.INV(RAND()))</f>
        <v/>
      </c>
    </row>
    <row r="3356">
      <c r="F3356">
        <f>F3355+1</f>
        <v/>
      </c>
      <c r="G3356" s="92">
        <f>EXP($C$12+$C$8*_xlfn.NORM.S.INV(RAND()))</f>
        <v/>
      </c>
    </row>
    <row r="3357">
      <c r="F3357">
        <f>F3356+1</f>
        <v/>
      </c>
      <c r="G3357" s="92">
        <f>EXP($C$12+$C$8*_xlfn.NORM.S.INV(RAND()))</f>
        <v/>
      </c>
    </row>
    <row r="3358">
      <c r="F3358">
        <f>F3357+1</f>
        <v/>
      </c>
      <c r="G3358" s="92">
        <f>EXP($C$12+$C$8*_xlfn.NORM.S.INV(RAND()))</f>
        <v/>
      </c>
    </row>
    <row r="3359">
      <c r="F3359">
        <f>F3358+1</f>
        <v/>
      </c>
      <c r="G3359" s="92">
        <f>EXP($C$12+$C$8*_xlfn.NORM.S.INV(RAND()))</f>
        <v/>
      </c>
    </row>
    <row r="3360">
      <c r="F3360">
        <f>F3359+1</f>
        <v/>
      </c>
      <c r="G3360" s="92">
        <f>EXP($C$12+$C$8*_xlfn.NORM.S.INV(RAND()))</f>
        <v/>
      </c>
    </row>
    <row r="3361">
      <c r="F3361">
        <f>F3360+1</f>
        <v/>
      </c>
      <c r="G3361" s="92">
        <f>EXP($C$12+$C$8*_xlfn.NORM.S.INV(RAND()))</f>
        <v/>
      </c>
    </row>
    <row r="3362">
      <c r="F3362">
        <f>F3361+1</f>
        <v/>
      </c>
      <c r="G3362" s="92">
        <f>EXP($C$12+$C$8*_xlfn.NORM.S.INV(RAND()))</f>
        <v/>
      </c>
    </row>
    <row r="3363">
      <c r="F3363">
        <f>F3362+1</f>
        <v/>
      </c>
      <c r="G3363" s="92">
        <f>EXP($C$12+$C$8*_xlfn.NORM.S.INV(RAND()))</f>
        <v/>
      </c>
    </row>
    <row r="3364">
      <c r="F3364">
        <f>F3363+1</f>
        <v/>
      </c>
      <c r="G3364" s="92">
        <f>EXP($C$12+$C$8*_xlfn.NORM.S.INV(RAND()))</f>
        <v/>
      </c>
    </row>
    <row r="3365">
      <c r="F3365">
        <f>F3364+1</f>
        <v/>
      </c>
      <c r="G3365" s="92">
        <f>EXP($C$12+$C$8*_xlfn.NORM.S.INV(RAND()))</f>
        <v/>
      </c>
    </row>
    <row r="3366">
      <c r="F3366">
        <f>F3365+1</f>
        <v/>
      </c>
      <c r="G3366" s="92">
        <f>EXP($C$12+$C$8*_xlfn.NORM.S.INV(RAND()))</f>
        <v/>
      </c>
    </row>
    <row r="3367">
      <c r="F3367">
        <f>F3366+1</f>
        <v/>
      </c>
      <c r="G3367" s="92">
        <f>EXP($C$12+$C$8*_xlfn.NORM.S.INV(RAND()))</f>
        <v/>
      </c>
    </row>
    <row r="3368">
      <c r="F3368">
        <f>F3367+1</f>
        <v/>
      </c>
      <c r="G3368" s="92">
        <f>EXP($C$12+$C$8*_xlfn.NORM.S.INV(RAND()))</f>
        <v/>
      </c>
    </row>
    <row r="3369">
      <c r="F3369">
        <f>F3368+1</f>
        <v/>
      </c>
      <c r="G3369" s="92">
        <f>EXP($C$12+$C$8*_xlfn.NORM.S.INV(RAND()))</f>
        <v/>
      </c>
    </row>
    <row r="3370">
      <c r="F3370">
        <f>F3369+1</f>
        <v/>
      </c>
      <c r="G3370" s="92">
        <f>EXP($C$12+$C$8*_xlfn.NORM.S.INV(RAND()))</f>
        <v/>
      </c>
    </row>
    <row r="3371">
      <c r="F3371">
        <f>F3370+1</f>
        <v/>
      </c>
      <c r="G3371" s="92">
        <f>EXP($C$12+$C$8*_xlfn.NORM.S.INV(RAND()))</f>
        <v/>
      </c>
    </row>
    <row r="3372">
      <c r="F3372">
        <f>F3371+1</f>
        <v/>
      </c>
      <c r="G3372" s="92">
        <f>EXP($C$12+$C$8*_xlfn.NORM.S.INV(RAND()))</f>
        <v/>
      </c>
    </row>
    <row r="3373">
      <c r="F3373">
        <f>F3372+1</f>
        <v/>
      </c>
      <c r="G3373" s="92">
        <f>EXP($C$12+$C$8*_xlfn.NORM.S.INV(RAND()))</f>
        <v/>
      </c>
    </row>
    <row r="3374">
      <c r="F3374">
        <f>F3373+1</f>
        <v/>
      </c>
      <c r="G3374" s="92">
        <f>EXP($C$12+$C$8*_xlfn.NORM.S.INV(RAND()))</f>
        <v/>
      </c>
    </row>
    <row r="3375">
      <c r="F3375">
        <f>F3374+1</f>
        <v/>
      </c>
      <c r="G3375" s="92">
        <f>EXP($C$12+$C$8*_xlfn.NORM.S.INV(RAND()))</f>
        <v/>
      </c>
    </row>
    <row r="3376">
      <c r="F3376">
        <f>F3375+1</f>
        <v/>
      </c>
      <c r="G3376" s="92">
        <f>EXP($C$12+$C$8*_xlfn.NORM.S.INV(RAND()))</f>
        <v/>
      </c>
    </row>
    <row r="3377">
      <c r="F3377">
        <f>F3376+1</f>
        <v/>
      </c>
      <c r="G3377" s="92">
        <f>EXP($C$12+$C$8*_xlfn.NORM.S.INV(RAND()))</f>
        <v/>
      </c>
    </row>
    <row r="3378">
      <c r="F3378">
        <f>F3377+1</f>
        <v/>
      </c>
      <c r="G3378" s="92">
        <f>EXP($C$12+$C$8*_xlfn.NORM.S.INV(RAND()))</f>
        <v/>
      </c>
    </row>
    <row r="3379">
      <c r="F3379">
        <f>F3378+1</f>
        <v/>
      </c>
      <c r="G3379" s="92">
        <f>EXP($C$12+$C$8*_xlfn.NORM.S.INV(RAND()))</f>
        <v/>
      </c>
    </row>
    <row r="3380">
      <c r="F3380">
        <f>F3379+1</f>
        <v/>
      </c>
      <c r="G3380" s="92">
        <f>EXP($C$12+$C$8*_xlfn.NORM.S.INV(RAND()))</f>
        <v/>
      </c>
    </row>
    <row r="3381">
      <c r="F3381">
        <f>F3380+1</f>
        <v/>
      </c>
      <c r="G3381" s="92">
        <f>EXP($C$12+$C$8*_xlfn.NORM.S.INV(RAND()))</f>
        <v/>
      </c>
    </row>
    <row r="3382">
      <c r="F3382">
        <f>F3381+1</f>
        <v/>
      </c>
      <c r="G3382" s="92">
        <f>EXP($C$12+$C$8*_xlfn.NORM.S.INV(RAND()))</f>
        <v/>
      </c>
    </row>
    <row r="3383">
      <c r="F3383">
        <f>F3382+1</f>
        <v/>
      </c>
      <c r="G3383" s="92">
        <f>EXP($C$12+$C$8*_xlfn.NORM.S.INV(RAND()))</f>
        <v/>
      </c>
    </row>
    <row r="3384">
      <c r="F3384">
        <f>F3383+1</f>
        <v/>
      </c>
      <c r="G3384" s="92">
        <f>EXP($C$12+$C$8*_xlfn.NORM.S.INV(RAND()))</f>
        <v/>
      </c>
    </row>
    <row r="3385">
      <c r="F3385">
        <f>F3384+1</f>
        <v/>
      </c>
      <c r="G3385" s="92">
        <f>EXP($C$12+$C$8*_xlfn.NORM.S.INV(RAND()))</f>
        <v/>
      </c>
    </row>
    <row r="3386">
      <c r="F3386">
        <f>F3385+1</f>
        <v/>
      </c>
      <c r="G3386" s="92">
        <f>EXP($C$12+$C$8*_xlfn.NORM.S.INV(RAND()))</f>
        <v/>
      </c>
    </row>
    <row r="3387">
      <c r="F3387">
        <f>F3386+1</f>
        <v/>
      </c>
      <c r="G3387" s="92">
        <f>EXP($C$12+$C$8*_xlfn.NORM.S.INV(RAND()))</f>
        <v/>
      </c>
    </row>
    <row r="3388">
      <c r="F3388">
        <f>F3387+1</f>
        <v/>
      </c>
      <c r="G3388" s="92">
        <f>EXP($C$12+$C$8*_xlfn.NORM.S.INV(RAND()))</f>
        <v/>
      </c>
    </row>
    <row r="3389">
      <c r="F3389">
        <f>F3388+1</f>
        <v/>
      </c>
      <c r="G3389" s="92">
        <f>EXP($C$12+$C$8*_xlfn.NORM.S.INV(RAND()))</f>
        <v/>
      </c>
    </row>
    <row r="3390">
      <c r="F3390">
        <f>F3389+1</f>
        <v/>
      </c>
      <c r="G3390" s="92">
        <f>EXP($C$12+$C$8*_xlfn.NORM.S.INV(RAND()))</f>
        <v/>
      </c>
    </row>
    <row r="3391">
      <c r="F3391">
        <f>F3390+1</f>
        <v/>
      </c>
      <c r="G3391" s="92">
        <f>EXP($C$12+$C$8*_xlfn.NORM.S.INV(RAND()))</f>
        <v/>
      </c>
    </row>
    <row r="3392">
      <c r="F3392">
        <f>F3391+1</f>
        <v/>
      </c>
      <c r="G3392" s="92">
        <f>EXP($C$12+$C$8*_xlfn.NORM.S.INV(RAND()))</f>
        <v/>
      </c>
    </row>
    <row r="3393">
      <c r="F3393">
        <f>F3392+1</f>
        <v/>
      </c>
      <c r="G3393" s="92">
        <f>EXP($C$12+$C$8*_xlfn.NORM.S.INV(RAND()))</f>
        <v/>
      </c>
    </row>
    <row r="3394">
      <c r="F3394">
        <f>F3393+1</f>
        <v/>
      </c>
      <c r="G3394" s="92">
        <f>EXP($C$12+$C$8*_xlfn.NORM.S.INV(RAND()))</f>
        <v/>
      </c>
    </row>
    <row r="3395">
      <c r="F3395">
        <f>F3394+1</f>
        <v/>
      </c>
      <c r="G3395" s="92">
        <f>EXP($C$12+$C$8*_xlfn.NORM.S.INV(RAND()))</f>
        <v/>
      </c>
    </row>
    <row r="3396">
      <c r="F3396">
        <f>F3395+1</f>
        <v/>
      </c>
      <c r="G3396" s="92">
        <f>EXP($C$12+$C$8*_xlfn.NORM.S.INV(RAND()))</f>
        <v/>
      </c>
    </row>
    <row r="3397">
      <c r="F3397">
        <f>F3396+1</f>
        <v/>
      </c>
      <c r="G3397" s="92">
        <f>EXP($C$12+$C$8*_xlfn.NORM.S.INV(RAND()))</f>
        <v/>
      </c>
    </row>
    <row r="3398">
      <c r="F3398">
        <f>F3397+1</f>
        <v/>
      </c>
      <c r="G3398" s="92">
        <f>EXP($C$12+$C$8*_xlfn.NORM.S.INV(RAND()))</f>
        <v/>
      </c>
    </row>
    <row r="3399">
      <c r="F3399">
        <f>F3398+1</f>
        <v/>
      </c>
      <c r="G3399" s="92">
        <f>EXP($C$12+$C$8*_xlfn.NORM.S.INV(RAND()))</f>
        <v/>
      </c>
    </row>
    <row r="3400">
      <c r="F3400">
        <f>F3399+1</f>
        <v/>
      </c>
      <c r="G3400" s="92">
        <f>EXP($C$12+$C$8*_xlfn.NORM.S.INV(RAND()))</f>
        <v/>
      </c>
    </row>
    <row r="3401">
      <c r="F3401">
        <f>F3400+1</f>
        <v/>
      </c>
      <c r="G3401" s="92">
        <f>EXP($C$12+$C$8*_xlfn.NORM.S.INV(RAND()))</f>
        <v/>
      </c>
    </row>
    <row r="3402">
      <c r="F3402">
        <f>F3401+1</f>
        <v/>
      </c>
      <c r="G3402" s="92">
        <f>EXP($C$12+$C$8*_xlfn.NORM.S.INV(RAND()))</f>
        <v/>
      </c>
    </row>
    <row r="3403">
      <c r="F3403">
        <f>F3402+1</f>
        <v/>
      </c>
      <c r="G3403" s="92">
        <f>EXP($C$12+$C$8*_xlfn.NORM.S.INV(RAND()))</f>
        <v/>
      </c>
    </row>
    <row r="3404">
      <c r="F3404">
        <f>F3403+1</f>
        <v/>
      </c>
      <c r="G3404" s="92">
        <f>EXP($C$12+$C$8*_xlfn.NORM.S.INV(RAND()))</f>
        <v/>
      </c>
    </row>
    <row r="3405">
      <c r="F3405">
        <f>F3404+1</f>
        <v/>
      </c>
      <c r="G3405" s="92">
        <f>EXP($C$12+$C$8*_xlfn.NORM.S.INV(RAND()))</f>
        <v/>
      </c>
    </row>
    <row r="3406">
      <c r="F3406">
        <f>F3405+1</f>
        <v/>
      </c>
      <c r="G3406" s="92">
        <f>EXP($C$12+$C$8*_xlfn.NORM.S.INV(RAND()))</f>
        <v/>
      </c>
    </row>
    <row r="3407">
      <c r="F3407">
        <f>F3406+1</f>
        <v/>
      </c>
      <c r="G3407" s="92">
        <f>EXP($C$12+$C$8*_xlfn.NORM.S.INV(RAND()))</f>
        <v/>
      </c>
    </row>
    <row r="3408">
      <c r="F3408">
        <f>F3407+1</f>
        <v/>
      </c>
      <c r="G3408" s="92">
        <f>EXP($C$12+$C$8*_xlfn.NORM.S.INV(RAND()))</f>
        <v/>
      </c>
    </row>
    <row r="3409">
      <c r="F3409">
        <f>F3408+1</f>
        <v/>
      </c>
      <c r="G3409" s="92">
        <f>EXP($C$12+$C$8*_xlfn.NORM.S.INV(RAND()))</f>
        <v/>
      </c>
    </row>
    <row r="3410">
      <c r="F3410">
        <f>F3409+1</f>
        <v/>
      </c>
      <c r="G3410" s="92">
        <f>EXP($C$12+$C$8*_xlfn.NORM.S.INV(RAND()))</f>
        <v/>
      </c>
    </row>
    <row r="3411">
      <c r="F3411">
        <f>F3410+1</f>
        <v/>
      </c>
      <c r="G3411" s="92">
        <f>EXP($C$12+$C$8*_xlfn.NORM.S.INV(RAND()))</f>
        <v/>
      </c>
    </row>
    <row r="3412">
      <c r="F3412">
        <f>F3411+1</f>
        <v/>
      </c>
      <c r="G3412" s="92">
        <f>EXP($C$12+$C$8*_xlfn.NORM.S.INV(RAND()))</f>
        <v/>
      </c>
    </row>
    <row r="3413">
      <c r="F3413">
        <f>F3412+1</f>
        <v/>
      </c>
      <c r="G3413" s="92">
        <f>EXP($C$12+$C$8*_xlfn.NORM.S.INV(RAND()))</f>
        <v/>
      </c>
    </row>
    <row r="3414">
      <c r="F3414">
        <f>F3413+1</f>
        <v/>
      </c>
      <c r="G3414" s="92">
        <f>EXP($C$12+$C$8*_xlfn.NORM.S.INV(RAND()))</f>
        <v/>
      </c>
    </row>
    <row r="3415">
      <c r="F3415">
        <f>F3414+1</f>
        <v/>
      </c>
      <c r="G3415" s="92">
        <f>EXP($C$12+$C$8*_xlfn.NORM.S.INV(RAND()))</f>
        <v/>
      </c>
    </row>
    <row r="3416">
      <c r="F3416">
        <f>F3415+1</f>
        <v/>
      </c>
      <c r="G3416" s="92">
        <f>EXP($C$12+$C$8*_xlfn.NORM.S.INV(RAND()))</f>
        <v/>
      </c>
    </row>
    <row r="3417">
      <c r="F3417">
        <f>F3416+1</f>
        <v/>
      </c>
      <c r="G3417" s="92">
        <f>EXP($C$12+$C$8*_xlfn.NORM.S.INV(RAND()))</f>
        <v/>
      </c>
    </row>
    <row r="3418">
      <c r="F3418">
        <f>F3417+1</f>
        <v/>
      </c>
      <c r="G3418" s="92">
        <f>EXP($C$12+$C$8*_xlfn.NORM.S.INV(RAND()))</f>
        <v/>
      </c>
    </row>
    <row r="3419">
      <c r="F3419">
        <f>F3418+1</f>
        <v/>
      </c>
      <c r="G3419" s="92">
        <f>EXP($C$12+$C$8*_xlfn.NORM.S.INV(RAND()))</f>
        <v/>
      </c>
    </row>
    <row r="3420">
      <c r="F3420">
        <f>F3419+1</f>
        <v/>
      </c>
      <c r="G3420" s="92">
        <f>EXP($C$12+$C$8*_xlfn.NORM.S.INV(RAND()))</f>
        <v/>
      </c>
    </row>
    <row r="3421">
      <c r="F3421">
        <f>F3420+1</f>
        <v/>
      </c>
      <c r="G3421" s="92">
        <f>EXP($C$12+$C$8*_xlfn.NORM.S.INV(RAND()))</f>
        <v/>
      </c>
    </row>
    <row r="3422">
      <c r="F3422">
        <f>F3421+1</f>
        <v/>
      </c>
      <c r="G3422" s="92">
        <f>EXP($C$12+$C$8*_xlfn.NORM.S.INV(RAND()))</f>
        <v/>
      </c>
    </row>
    <row r="3423">
      <c r="F3423">
        <f>F3422+1</f>
        <v/>
      </c>
      <c r="G3423" s="92">
        <f>EXP($C$12+$C$8*_xlfn.NORM.S.INV(RAND()))</f>
        <v/>
      </c>
    </row>
    <row r="3424">
      <c r="F3424">
        <f>F3423+1</f>
        <v/>
      </c>
      <c r="G3424" s="92">
        <f>EXP($C$12+$C$8*_xlfn.NORM.S.INV(RAND()))</f>
        <v/>
      </c>
    </row>
    <row r="3425">
      <c r="F3425">
        <f>F3424+1</f>
        <v/>
      </c>
      <c r="G3425" s="92">
        <f>EXP($C$12+$C$8*_xlfn.NORM.S.INV(RAND()))</f>
        <v/>
      </c>
    </row>
    <row r="3426">
      <c r="F3426">
        <f>F3425+1</f>
        <v/>
      </c>
      <c r="G3426" s="92">
        <f>EXP($C$12+$C$8*_xlfn.NORM.S.INV(RAND()))</f>
        <v/>
      </c>
    </row>
    <row r="3427">
      <c r="F3427">
        <f>F3426+1</f>
        <v/>
      </c>
      <c r="G3427" s="92">
        <f>EXP($C$12+$C$8*_xlfn.NORM.S.INV(RAND()))</f>
        <v/>
      </c>
    </row>
    <row r="3428">
      <c r="F3428">
        <f>F3427+1</f>
        <v/>
      </c>
      <c r="G3428" s="92">
        <f>EXP($C$12+$C$8*_xlfn.NORM.S.INV(RAND()))</f>
        <v/>
      </c>
    </row>
    <row r="3429">
      <c r="F3429">
        <f>F3428+1</f>
        <v/>
      </c>
      <c r="G3429" s="92">
        <f>EXP($C$12+$C$8*_xlfn.NORM.S.INV(RAND()))</f>
        <v/>
      </c>
    </row>
    <row r="3430">
      <c r="F3430">
        <f>F3429+1</f>
        <v/>
      </c>
      <c r="G3430" s="92">
        <f>EXP($C$12+$C$8*_xlfn.NORM.S.INV(RAND()))</f>
        <v/>
      </c>
    </row>
    <row r="3431">
      <c r="F3431">
        <f>F3430+1</f>
        <v/>
      </c>
      <c r="G3431" s="92">
        <f>EXP($C$12+$C$8*_xlfn.NORM.S.INV(RAND()))</f>
        <v/>
      </c>
    </row>
    <row r="3432">
      <c r="F3432">
        <f>F3431+1</f>
        <v/>
      </c>
      <c r="G3432" s="92">
        <f>EXP($C$12+$C$8*_xlfn.NORM.S.INV(RAND()))</f>
        <v/>
      </c>
    </row>
    <row r="3433">
      <c r="F3433">
        <f>F3432+1</f>
        <v/>
      </c>
      <c r="G3433" s="92">
        <f>EXP($C$12+$C$8*_xlfn.NORM.S.INV(RAND()))</f>
        <v/>
      </c>
    </row>
    <row r="3434">
      <c r="F3434">
        <f>F3433+1</f>
        <v/>
      </c>
      <c r="G3434" s="92">
        <f>EXP($C$12+$C$8*_xlfn.NORM.S.INV(RAND()))</f>
        <v/>
      </c>
    </row>
    <row r="3435">
      <c r="F3435">
        <f>F3434+1</f>
        <v/>
      </c>
      <c r="G3435" s="92">
        <f>EXP($C$12+$C$8*_xlfn.NORM.S.INV(RAND()))</f>
        <v/>
      </c>
    </row>
    <row r="3436">
      <c r="F3436">
        <f>F3435+1</f>
        <v/>
      </c>
      <c r="G3436" s="92">
        <f>EXP($C$12+$C$8*_xlfn.NORM.S.INV(RAND()))</f>
        <v/>
      </c>
    </row>
    <row r="3437">
      <c r="F3437">
        <f>F3436+1</f>
        <v/>
      </c>
      <c r="G3437" s="92">
        <f>EXP($C$12+$C$8*_xlfn.NORM.S.INV(RAND()))</f>
        <v/>
      </c>
    </row>
    <row r="3438">
      <c r="F3438">
        <f>F3437+1</f>
        <v/>
      </c>
      <c r="G3438" s="92">
        <f>EXP($C$12+$C$8*_xlfn.NORM.S.INV(RAND()))</f>
        <v/>
      </c>
    </row>
    <row r="3439">
      <c r="F3439">
        <f>F3438+1</f>
        <v/>
      </c>
      <c r="G3439" s="92">
        <f>EXP($C$12+$C$8*_xlfn.NORM.S.INV(RAND()))</f>
        <v/>
      </c>
    </row>
    <row r="3440">
      <c r="F3440">
        <f>F3439+1</f>
        <v/>
      </c>
      <c r="G3440" s="92">
        <f>EXP($C$12+$C$8*_xlfn.NORM.S.INV(RAND()))</f>
        <v/>
      </c>
    </row>
    <row r="3441">
      <c r="F3441">
        <f>F3440+1</f>
        <v/>
      </c>
      <c r="G3441" s="92">
        <f>EXP($C$12+$C$8*_xlfn.NORM.S.INV(RAND()))</f>
        <v/>
      </c>
    </row>
    <row r="3442">
      <c r="F3442">
        <f>F3441+1</f>
        <v/>
      </c>
      <c r="G3442" s="92">
        <f>EXP($C$12+$C$8*_xlfn.NORM.S.INV(RAND()))</f>
        <v/>
      </c>
    </row>
    <row r="3443">
      <c r="F3443">
        <f>F3442+1</f>
        <v/>
      </c>
      <c r="G3443" s="92">
        <f>EXP($C$12+$C$8*_xlfn.NORM.S.INV(RAND()))</f>
        <v/>
      </c>
    </row>
    <row r="3444">
      <c r="F3444">
        <f>F3443+1</f>
        <v/>
      </c>
      <c r="G3444" s="92">
        <f>EXP($C$12+$C$8*_xlfn.NORM.S.INV(RAND()))</f>
        <v/>
      </c>
    </row>
    <row r="3445">
      <c r="F3445">
        <f>F3444+1</f>
        <v/>
      </c>
      <c r="G3445" s="92">
        <f>EXP($C$12+$C$8*_xlfn.NORM.S.INV(RAND()))</f>
        <v/>
      </c>
    </row>
    <row r="3446">
      <c r="F3446">
        <f>F3445+1</f>
        <v/>
      </c>
      <c r="G3446" s="92">
        <f>EXP($C$12+$C$8*_xlfn.NORM.S.INV(RAND()))</f>
        <v/>
      </c>
    </row>
    <row r="3447">
      <c r="F3447">
        <f>F3446+1</f>
        <v/>
      </c>
      <c r="G3447" s="92">
        <f>EXP($C$12+$C$8*_xlfn.NORM.S.INV(RAND()))</f>
        <v/>
      </c>
    </row>
    <row r="3448">
      <c r="F3448">
        <f>F3447+1</f>
        <v/>
      </c>
      <c r="G3448" s="92">
        <f>EXP($C$12+$C$8*_xlfn.NORM.S.INV(RAND()))</f>
        <v/>
      </c>
    </row>
    <row r="3449">
      <c r="F3449">
        <f>F3448+1</f>
        <v/>
      </c>
      <c r="G3449" s="92">
        <f>EXP($C$12+$C$8*_xlfn.NORM.S.INV(RAND()))</f>
        <v/>
      </c>
    </row>
    <row r="3450">
      <c r="F3450">
        <f>F3449+1</f>
        <v/>
      </c>
      <c r="G3450" s="92">
        <f>EXP($C$12+$C$8*_xlfn.NORM.S.INV(RAND()))</f>
        <v/>
      </c>
    </row>
    <row r="3451">
      <c r="F3451">
        <f>F3450+1</f>
        <v/>
      </c>
      <c r="G3451" s="92">
        <f>EXP($C$12+$C$8*_xlfn.NORM.S.INV(RAND()))</f>
        <v/>
      </c>
    </row>
    <row r="3452">
      <c r="F3452">
        <f>F3451+1</f>
        <v/>
      </c>
      <c r="G3452" s="92">
        <f>EXP($C$12+$C$8*_xlfn.NORM.S.INV(RAND()))</f>
        <v/>
      </c>
    </row>
    <row r="3453">
      <c r="F3453">
        <f>F3452+1</f>
        <v/>
      </c>
      <c r="G3453" s="92">
        <f>EXP($C$12+$C$8*_xlfn.NORM.S.INV(RAND()))</f>
        <v/>
      </c>
    </row>
    <row r="3454">
      <c r="F3454">
        <f>F3453+1</f>
        <v/>
      </c>
      <c r="G3454" s="92">
        <f>EXP($C$12+$C$8*_xlfn.NORM.S.INV(RAND()))</f>
        <v/>
      </c>
    </row>
    <row r="3455">
      <c r="F3455">
        <f>F3454+1</f>
        <v/>
      </c>
      <c r="G3455" s="92">
        <f>EXP($C$12+$C$8*_xlfn.NORM.S.INV(RAND()))</f>
        <v/>
      </c>
    </row>
    <row r="3456">
      <c r="F3456">
        <f>F3455+1</f>
        <v/>
      </c>
      <c r="G3456" s="92">
        <f>EXP($C$12+$C$8*_xlfn.NORM.S.INV(RAND()))</f>
        <v/>
      </c>
    </row>
    <row r="3457">
      <c r="F3457">
        <f>F3456+1</f>
        <v/>
      </c>
      <c r="G3457" s="92">
        <f>EXP($C$12+$C$8*_xlfn.NORM.S.INV(RAND()))</f>
        <v/>
      </c>
    </row>
    <row r="3458">
      <c r="F3458">
        <f>F3457+1</f>
        <v/>
      </c>
      <c r="G3458" s="92">
        <f>EXP($C$12+$C$8*_xlfn.NORM.S.INV(RAND()))</f>
        <v/>
      </c>
    </row>
    <row r="3459">
      <c r="F3459">
        <f>F3458+1</f>
        <v/>
      </c>
      <c r="G3459" s="92">
        <f>EXP($C$12+$C$8*_xlfn.NORM.S.INV(RAND()))</f>
        <v/>
      </c>
    </row>
    <row r="3460">
      <c r="F3460">
        <f>F3459+1</f>
        <v/>
      </c>
      <c r="G3460" s="92">
        <f>EXP($C$12+$C$8*_xlfn.NORM.S.INV(RAND()))</f>
        <v/>
      </c>
    </row>
    <row r="3461">
      <c r="F3461">
        <f>F3460+1</f>
        <v/>
      </c>
      <c r="G3461" s="92">
        <f>EXP($C$12+$C$8*_xlfn.NORM.S.INV(RAND()))</f>
        <v/>
      </c>
    </row>
    <row r="3462">
      <c r="F3462">
        <f>F3461+1</f>
        <v/>
      </c>
      <c r="G3462" s="92">
        <f>EXP($C$12+$C$8*_xlfn.NORM.S.INV(RAND()))</f>
        <v/>
      </c>
    </row>
    <row r="3463">
      <c r="F3463">
        <f>F3462+1</f>
        <v/>
      </c>
      <c r="G3463" s="92">
        <f>EXP($C$12+$C$8*_xlfn.NORM.S.INV(RAND()))</f>
        <v/>
      </c>
    </row>
    <row r="3464">
      <c r="F3464">
        <f>F3463+1</f>
        <v/>
      </c>
      <c r="G3464" s="92">
        <f>EXP($C$12+$C$8*_xlfn.NORM.S.INV(RAND()))</f>
        <v/>
      </c>
    </row>
    <row r="3465">
      <c r="F3465">
        <f>F3464+1</f>
        <v/>
      </c>
      <c r="G3465" s="92">
        <f>EXP($C$12+$C$8*_xlfn.NORM.S.INV(RAND()))</f>
        <v/>
      </c>
    </row>
    <row r="3466">
      <c r="F3466">
        <f>F3465+1</f>
        <v/>
      </c>
      <c r="G3466" s="92">
        <f>EXP($C$12+$C$8*_xlfn.NORM.S.INV(RAND()))</f>
        <v/>
      </c>
    </row>
    <row r="3467">
      <c r="F3467">
        <f>F3466+1</f>
        <v/>
      </c>
      <c r="G3467" s="92">
        <f>EXP($C$12+$C$8*_xlfn.NORM.S.INV(RAND()))</f>
        <v/>
      </c>
    </row>
    <row r="3468">
      <c r="F3468">
        <f>F3467+1</f>
        <v/>
      </c>
      <c r="G3468" s="92">
        <f>EXP($C$12+$C$8*_xlfn.NORM.S.INV(RAND()))</f>
        <v/>
      </c>
    </row>
    <row r="3469">
      <c r="F3469">
        <f>F3468+1</f>
        <v/>
      </c>
      <c r="G3469" s="92">
        <f>EXP($C$12+$C$8*_xlfn.NORM.S.INV(RAND()))</f>
        <v/>
      </c>
    </row>
    <row r="3470">
      <c r="F3470">
        <f>F3469+1</f>
        <v/>
      </c>
      <c r="G3470" s="92">
        <f>EXP($C$12+$C$8*_xlfn.NORM.S.INV(RAND()))</f>
        <v/>
      </c>
    </row>
    <row r="3471">
      <c r="F3471">
        <f>F3470+1</f>
        <v/>
      </c>
      <c r="G3471" s="92">
        <f>EXP($C$12+$C$8*_xlfn.NORM.S.INV(RAND()))</f>
        <v/>
      </c>
    </row>
    <row r="3472">
      <c r="F3472">
        <f>F3471+1</f>
        <v/>
      </c>
      <c r="G3472" s="92">
        <f>EXP($C$12+$C$8*_xlfn.NORM.S.INV(RAND()))</f>
        <v/>
      </c>
    </row>
    <row r="3473">
      <c r="F3473">
        <f>F3472+1</f>
        <v/>
      </c>
      <c r="G3473" s="92">
        <f>EXP($C$12+$C$8*_xlfn.NORM.S.INV(RAND()))</f>
        <v/>
      </c>
    </row>
    <row r="3474">
      <c r="F3474">
        <f>F3473+1</f>
        <v/>
      </c>
      <c r="G3474" s="92">
        <f>EXP($C$12+$C$8*_xlfn.NORM.S.INV(RAND()))</f>
        <v/>
      </c>
    </row>
    <row r="3475">
      <c r="F3475">
        <f>F3474+1</f>
        <v/>
      </c>
      <c r="G3475" s="92">
        <f>EXP($C$12+$C$8*_xlfn.NORM.S.INV(RAND()))</f>
        <v/>
      </c>
    </row>
    <row r="3476">
      <c r="F3476">
        <f>F3475+1</f>
        <v/>
      </c>
      <c r="G3476" s="92">
        <f>EXP($C$12+$C$8*_xlfn.NORM.S.INV(RAND()))</f>
        <v/>
      </c>
    </row>
    <row r="3477">
      <c r="F3477">
        <f>F3476+1</f>
        <v/>
      </c>
      <c r="G3477" s="92">
        <f>EXP($C$12+$C$8*_xlfn.NORM.S.INV(RAND()))</f>
        <v/>
      </c>
    </row>
    <row r="3478">
      <c r="F3478">
        <f>F3477+1</f>
        <v/>
      </c>
      <c r="G3478" s="92">
        <f>EXP($C$12+$C$8*_xlfn.NORM.S.INV(RAND()))</f>
        <v/>
      </c>
    </row>
    <row r="3479">
      <c r="F3479">
        <f>F3478+1</f>
        <v/>
      </c>
      <c r="G3479" s="92">
        <f>EXP($C$12+$C$8*_xlfn.NORM.S.INV(RAND()))</f>
        <v/>
      </c>
    </row>
    <row r="3480">
      <c r="F3480">
        <f>F3479+1</f>
        <v/>
      </c>
      <c r="G3480" s="92">
        <f>EXP($C$12+$C$8*_xlfn.NORM.S.INV(RAND()))</f>
        <v/>
      </c>
    </row>
    <row r="3481">
      <c r="F3481">
        <f>F3480+1</f>
        <v/>
      </c>
      <c r="G3481" s="92">
        <f>EXP($C$12+$C$8*_xlfn.NORM.S.INV(RAND()))</f>
        <v/>
      </c>
    </row>
    <row r="3482">
      <c r="F3482">
        <f>F3481+1</f>
        <v/>
      </c>
      <c r="G3482" s="92">
        <f>EXP($C$12+$C$8*_xlfn.NORM.S.INV(RAND()))</f>
        <v/>
      </c>
    </row>
    <row r="3483">
      <c r="F3483">
        <f>F3482+1</f>
        <v/>
      </c>
      <c r="G3483" s="92">
        <f>EXP($C$12+$C$8*_xlfn.NORM.S.INV(RAND()))</f>
        <v/>
      </c>
    </row>
    <row r="3484">
      <c r="F3484">
        <f>F3483+1</f>
        <v/>
      </c>
      <c r="G3484" s="92">
        <f>EXP($C$12+$C$8*_xlfn.NORM.S.INV(RAND()))</f>
        <v/>
      </c>
    </row>
    <row r="3485">
      <c r="F3485">
        <f>F3484+1</f>
        <v/>
      </c>
      <c r="G3485" s="92">
        <f>EXP($C$12+$C$8*_xlfn.NORM.S.INV(RAND()))</f>
        <v/>
      </c>
    </row>
    <row r="3486">
      <c r="F3486">
        <f>F3485+1</f>
        <v/>
      </c>
      <c r="G3486" s="92">
        <f>EXP($C$12+$C$8*_xlfn.NORM.S.INV(RAND()))</f>
        <v/>
      </c>
    </row>
    <row r="3487">
      <c r="F3487">
        <f>F3486+1</f>
        <v/>
      </c>
      <c r="G3487" s="92">
        <f>EXP($C$12+$C$8*_xlfn.NORM.S.INV(RAND()))</f>
        <v/>
      </c>
    </row>
    <row r="3488">
      <c r="F3488">
        <f>F3487+1</f>
        <v/>
      </c>
      <c r="G3488" s="92">
        <f>EXP($C$12+$C$8*_xlfn.NORM.S.INV(RAND()))</f>
        <v/>
      </c>
    </row>
    <row r="3489">
      <c r="F3489">
        <f>F3488+1</f>
        <v/>
      </c>
      <c r="G3489" s="92">
        <f>EXP($C$12+$C$8*_xlfn.NORM.S.INV(RAND()))</f>
        <v/>
      </c>
    </row>
    <row r="3490">
      <c r="F3490">
        <f>F3489+1</f>
        <v/>
      </c>
      <c r="G3490" s="92">
        <f>EXP($C$12+$C$8*_xlfn.NORM.S.INV(RAND()))</f>
        <v/>
      </c>
    </row>
    <row r="3491">
      <c r="F3491">
        <f>F3490+1</f>
        <v/>
      </c>
      <c r="G3491" s="92">
        <f>EXP($C$12+$C$8*_xlfn.NORM.S.INV(RAND()))</f>
        <v/>
      </c>
    </row>
    <row r="3492">
      <c r="F3492">
        <f>F3491+1</f>
        <v/>
      </c>
      <c r="G3492" s="92">
        <f>EXP($C$12+$C$8*_xlfn.NORM.S.INV(RAND()))</f>
        <v/>
      </c>
    </row>
    <row r="3493">
      <c r="F3493">
        <f>F3492+1</f>
        <v/>
      </c>
      <c r="G3493" s="92">
        <f>EXP($C$12+$C$8*_xlfn.NORM.S.INV(RAND()))</f>
        <v/>
      </c>
    </row>
    <row r="3494">
      <c r="F3494">
        <f>F3493+1</f>
        <v/>
      </c>
      <c r="G3494" s="92">
        <f>EXP($C$12+$C$8*_xlfn.NORM.S.INV(RAND()))</f>
        <v/>
      </c>
    </row>
    <row r="3495">
      <c r="F3495">
        <f>F3494+1</f>
        <v/>
      </c>
      <c r="G3495" s="92">
        <f>EXP($C$12+$C$8*_xlfn.NORM.S.INV(RAND()))</f>
        <v/>
      </c>
    </row>
    <row r="3496">
      <c r="F3496">
        <f>F3495+1</f>
        <v/>
      </c>
      <c r="G3496" s="92">
        <f>EXP($C$12+$C$8*_xlfn.NORM.S.INV(RAND()))</f>
        <v/>
      </c>
    </row>
    <row r="3497">
      <c r="F3497">
        <f>F3496+1</f>
        <v/>
      </c>
      <c r="G3497" s="92">
        <f>EXP($C$12+$C$8*_xlfn.NORM.S.INV(RAND()))</f>
        <v/>
      </c>
    </row>
    <row r="3498">
      <c r="F3498">
        <f>F3497+1</f>
        <v/>
      </c>
      <c r="G3498" s="92">
        <f>EXP($C$12+$C$8*_xlfn.NORM.S.INV(RAND()))</f>
        <v/>
      </c>
    </row>
    <row r="3499">
      <c r="F3499">
        <f>F3498+1</f>
        <v/>
      </c>
      <c r="G3499" s="92">
        <f>EXP($C$12+$C$8*_xlfn.NORM.S.INV(RAND()))</f>
        <v/>
      </c>
    </row>
    <row r="3500">
      <c r="F3500">
        <f>F3499+1</f>
        <v/>
      </c>
      <c r="G3500" s="92">
        <f>EXP($C$12+$C$8*_xlfn.NORM.S.INV(RAND()))</f>
        <v/>
      </c>
    </row>
    <row r="3501">
      <c r="F3501">
        <f>F3500+1</f>
        <v/>
      </c>
      <c r="G3501" s="92">
        <f>EXP($C$12+$C$8*_xlfn.NORM.S.INV(RAND()))</f>
        <v/>
      </c>
    </row>
    <row r="3502">
      <c r="F3502">
        <f>F3501+1</f>
        <v/>
      </c>
      <c r="G3502" s="92">
        <f>EXP($C$12+$C$8*_xlfn.NORM.S.INV(RAND()))</f>
        <v/>
      </c>
    </row>
    <row r="3503">
      <c r="F3503">
        <f>F3502+1</f>
        <v/>
      </c>
      <c r="G3503" s="92">
        <f>EXP($C$12+$C$8*_xlfn.NORM.S.INV(RAND()))</f>
        <v/>
      </c>
    </row>
    <row r="3504">
      <c r="F3504">
        <f>F3503+1</f>
        <v/>
      </c>
      <c r="G3504" s="92">
        <f>EXP($C$12+$C$8*_xlfn.NORM.S.INV(RAND()))</f>
        <v/>
      </c>
    </row>
    <row r="3505">
      <c r="F3505">
        <f>F3504+1</f>
        <v/>
      </c>
      <c r="G3505" s="92">
        <f>EXP($C$12+$C$8*_xlfn.NORM.S.INV(RAND()))</f>
        <v/>
      </c>
    </row>
    <row r="3506">
      <c r="F3506">
        <f>F3505+1</f>
        <v/>
      </c>
      <c r="G3506" s="92">
        <f>EXP($C$12+$C$8*_xlfn.NORM.S.INV(RAND()))</f>
        <v/>
      </c>
    </row>
    <row r="3507">
      <c r="F3507">
        <f>F3506+1</f>
        <v/>
      </c>
      <c r="G3507" s="92">
        <f>EXP($C$12+$C$8*_xlfn.NORM.S.INV(RAND()))</f>
        <v/>
      </c>
    </row>
    <row r="3508">
      <c r="F3508">
        <f>F3507+1</f>
        <v/>
      </c>
      <c r="G3508" s="92">
        <f>EXP($C$12+$C$8*_xlfn.NORM.S.INV(RAND()))</f>
        <v/>
      </c>
    </row>
    <row r="3509">
      <c r="F3509">
        <f>F3508+1</f>
        <v/>
      </c>
      <c r="G3509" s="92">
        <f>EXP($C$12+$C$8*_xlfn.NORM.S.INV(RAND()))</f>
        <v/>
      </c>
    </row>
    <row r="3510">
      <c r="F3510">
        <f>F3509+1</f>
        <v/>
      </c>
      <c r="G3510" s="92">
        <f>EXP($C$12+$C$8*_xlfn.NORM.S.INV(RAND()))</f>
        <v/>
      </c>
    </row>
    <row r="3511">
      <c r="F3511">
        <f>F3510+1</f>
        <v/>
      </c>
      <c r="G3511" s="92">
        <f>EXP($C$12+$C$8*_xlfn.NORM.S.INV(RAND()))</f>
        <v/>
      </c>
    </row>
    <row r="3512">
      <c r="F3512">
        <f>F3511+1</f>
        <v/>
      </c>
      <c r="G3512" s="92">
        <f>EXP($C$12+$C$8*_xlfn.NORM.S.INV(RAND()))</f>
        <v/>
      </c>
    </row>
    <row r="3513">
      <c r="F3513">
        <f>F3512+1</f>
        <v/>
      </c>
      <c r="G3513" s="92">
        <f>EXP($C$12+$C$8*_xlfn.NORM.S.INV(RAND()))</f>
        <v/>
      </c>
    </row>
    <row r="3514">
      <c r="F3514">
        <f>F3513+1</f>
        <v/>
      </c>
      <c r="G3514" s="92">
        <f>EXP($C$12+$C$8*_xlfn.NORM.S.INV(RAND()))</f>
        <v/>
      </c>
    </row>
    <row r="3515">
      <c r="F3515">
        <f>F3514+1</f>
        <v/>
      </c>
      <c r="G3515" s="92">
        <f>EXP($C$12+$C$8*_xlfn.NORM.S.INV(RAND()))</f>
        <v/>
      </c>
    </row>
    <row r="3516">
      <c r="F3516">
        <f>F3515+1</f>
        <v/>
      </c>
      <c r="G3516" s="92">
        <f>EXP($C$12+$C$8*_xlfn.NORM.S.INV(RAND()))</f>
        <v/>
      </c>
    </row>
    <row r="3517">
      <c r="F3517">
        <f>F3516+1</f>
        <v/>
      </c>
      <c r="G3517" s="92">
        <f>EXP($C$12+$C$8*_xlfn.NORM.S.INV(RAND()))</f>
        <v/>
      </c>
    </row>
    <row r="3518">
      <c r="F3518">
        <f>F3517+1</f>
        <v/>
      </c>
      <c r="G3518" s="92">
        <f>EXP($C$12+$C$8*_xlfn.NORM.S.INV(RAND()))</f>
        <v/>
      </c>
    </row>
    <row r="3519">
      <c r="F3519">
        <f>F3518+1</f>
        <v/>
      </c>
      <c r="G3519" s="92">
        <f>EXP($C$12+$C$8*_xlfn.NORM.S.INV(RAND()))</f>
        <v/>
      </c>
    </row>
    <row r="3520">
      <c r="F3520">
        <f>F3519+1</f>
        <v/>
      </c>
      <c r="G3520" s="92">
        <f>EXP($C$12+$C$8*_xlfn.NORM.S.INV(RAND()))</f>
        <v/>
      </c>
    </row>
    <row r="3521">
      <c r="F3521">
        <f>F3520+1</f>
        <v/>
      </c>
      <c r="G3521" s="92">
        <f>EXP($C$12+$C$8*_xlfn.NORM.S.INV(RAND()))</f>
        <v/>
      </c>
    </row>
    <row r="3522">
      <c r="F3522">
        <f>F3521+1</f>
        <v/>
      </c>
      <c r="G3522" s="92">
        <f>EXP($C$12+$C$8*_xlfn.NORM.S.INV(RAND()))</f>
        <v/>
      </c>
    </row>
    <row r="3523">
      <c r="F3523">
        <f>F3522+1</f>
        <v/>
      </c>
      <c r="G3523" s="92">
        <f>EXP($C$12+$C$8*_xlfn.NORM.S.INV(RAND()))</f>
        <v/>
      </c>
    </row>
    <row r="3524">
      <c r="F3524">
        <f>F3523+1</f>
        <v/>
      </c>
      <c r="G3524" s="92">
        <f>EXP($C$12+$C$8*_xlfn.NORM.S.INV(RAND()))</f>
        <v/>
      </c>
    </row>
    <row r="3525">
      <c r="F3525">
        <f>F3524+1</f>
        <v/>
      </c>
      <c r="G3525" s="92">
        <f>EXP($C$12+$C$8*_xlfn.NORM.S.INV(RAND()))</f>
        <v/>
      </c>
    </row>
    <row r="3526">
      <c r="F3526">
        <f>F3525+1</f>
        <v/>
      </c>
      <c r="G3526" s="92">
        <f>EXP($C$12+$C$8*_xlfn.NORM.S.INV(RAND()))</f>
        <v/>
      </c>
    </row>
    <row r="3527">
      <c r="F3527">
        <f>F3526+1</f>
        <v/>
      </c>
      <c r="G3527" s="92">
        <f>EXP($C$12+$C$8*_xlfn.NORM.S.INV(RAND()))</f>
        <v/>
      </c>
    </row>
    <row r="3528">
      <c r="F3528">
        <f>F3527+1</f>
        <v/>
      </c>
      <c r="G3528" s="92">
        <f>EXP($C$12+$C$8*_xlfn.NORM.S.INV(RAND()))</f>
        <v/>
      </c>
    </row>
    <row r="3529">
      <c r="F3529">
        <f>F3528+1</f>
        <v/>
      </c>
      <c r="G3529" s="92">
        <f>EXP($C$12+$C$8*_xlfn.NORM.S.INV(RAND()))</f>
        <v/>
      </c>
    </row>
    <row r="3530">
      <c r="F3530">
        <f>F3529+1</f>
        <v/>
      </c>
      <c r="G3530" s="92">
        <f>EXP($C$12+$C$8*_xlfn.NORM.S.INV(RAND()))</f>
        <v/>
      </c>
    </row>
    <row r="3531">
      <c r="F3531">
        <f>F3530+1</f>
        <v/>
      </c>
      <c r="G3531" s="92">
        <f>EXP($C$12+$C$8*_xlfn.NORM.S.INV(RAND()))</f>
        <v/>
      </c>
    </row>
    <row r="3532">
      <c r="F3532">
        <f>F3531+1</f>
        <v/>
      </c>
      <c r="G3532" s="92">
        <f>EXP($C$12+$C$8*_xlfn.NORM.S.INV(RAND()))</f>
        <v/>
      </c>
    </row>
    <row r="3533">
      <c r="F3533">
        <f>F3532+1</f>
        <v/>
      </c>
      <c r="G3533" s="92">
        <f>EXP($C$12+$C$8*_xlfn.NORM.S.INV(RAND()))</f>
        <v/>
      </c>
    </row>
    <row r="3534">
      <c r="F3534">
        <f>F3533+1</f>
        <v/>
      </c>
      <c r="G3534" s="92">
        <f>EXP($C$12+$C$8*_xlfn.NORM.S.INV(RAND()))</f>
        <v/>
      </c>
    </row>
    <row r="3535">
      <c r="F3535">
        <f>F3534+1</f>
        <v/>
      </c>
      <c r="G3535" s="92">
        <f>EXP($C$12+$C$8*_xlfn.NORM.S.INV(RAND()))</f>
        <v/>
      </c>
    </row>
    <row r="3536">
      <c r="F3536">
        <f>F3535+1</f>
        <v/>
      </c>
      <c r="G3536" s="92">
        <f>EXP($C$12+$C$8*_xlfn.NORM.S.INV(RAND()))</f>
        <v/>
      </c>
    </row>
    <row r="3537">
      <c r="F3537">
        <f>F3536+1</f>
        <v/>
      </c>
      <c r="G3537" s="92">
        <f>EXP($C$12+$C$8*_xlfn.NORM.S.INV(RAND()))</f>
        <v/>
      </c>
    </row>
    <row r="3538">
      <c r="F3538">
        <f>F3537+1</f>
        <v/>
      </c>
      <c r="G3538" s="92">
        <f>EXP($C$12+$C$8*_xlfn.NORM.S.INV(RAND()))</f>
        <v/>
      </c>
    </row>
    <row r="3539">
      <c r="F3539">
        <f>F3538+1</f>
        <v/>
      </c>
      <c r="G3539" s="92">
        <f>EXP($C$12+$C$8*_xlfn.NORM.S.INV(RAND()))</f>
        <v/>
      </c>
    </row>
    <row r="3540">
      <c r="F3540">
        <f>F3539+1</f>
        <v/>
      </c>
      <c r="G3540" s="92">
        <f>EXP($C$12+$C$8*_xlfn.NORM.S.INV(RAND()))</f>
        <v/>
      </c>
    </row>
    <row r="3541">
      <c r="F3541">
        <f>F3540+1</f>
        <v/>
      </c>
      <c r="G3541" s="92">
        <f>EXP($C$12+$C$8*_xlfn.NORM.S.INV(RAND()))</f>
        <v/>
      </c>
    </row>
    <row r="3542">
      <c r="F3542">
        <f>F3541+1</f>
        <v/>
      </c>
      <c r="G3542" s="92">
        <f>EXP($C$12+$C$8*_xlfn.NORM.S.INV(RAND()))</f>
        <v/>
      </c>
    </row>
    <row r="3543">
      <c r="F3543">
        <f>F3542+1</f>
        <v/>
      </c>
      <c r="G3543" s="92">
        <f>EXP($C$12+$C$8*_xlfn.NORM.S.INV(RAND()))</f>
        <v/>
      </c>
    </row>
    <row r="3544">
      <c r="F3544">
        <f>F3543+1</f>
        <v/>
      </c>
      <c r="G3544" s="92">
        <f>EXP($C$12+$C$8*_xlfn.NORM.S.INV(RAND()))</f>
        <v/>
      </c>
    </row>
    <row r="3545">
      <c r="F3545">
        <f>F3544+1</f>
        <v/>
      </c>
      <c r="G3545" s="92">
        <f>EXP($C$12+$C$8*_xlfn.NORM.S.INV(RAND()))</f>
        <v/>
      </c>
    </row>
    <row r="3546">
      <c r="F3546">
        <f>F3545+1</f>
        <v/>
      </c>
      <c r="G3546" s="92">
        <f>EXP($C$12+$C$8*_xlfn.NORM.S.INV(RAND()))</f>
        <v/>
      </c>
    </row>
    <row r="3547">
      <c r="F3547">
        <f>F3546+1</f>
        <v/>
      </c>
      <c r="G3547" s="92">
        <f>EXP($C$12+$C$8*_xlfn.NORM.S.INV(RAND()))</f>
        <v/>
      </c>
    </row>
    <row r="3548">
      <c r="F3548">
        <f>F3547+1</f>
        <v/>
      </c>
      <c r="G3548" s="92">
        <f>EXP($C$12+$C$8*_xlfn.NORM.S.INV(RAND()))</f>
        <v/>
      </c>
    </row>
    <row r="3549">
      <c r="F3549">
        <f>F3548+1</f>
        <v/>
      </c>
      <c r="G3549" s="92">
        <f>EXP($C$12+$C$8*_xlfn.NORM.S.INV(RAND()))</f>
        <v/>
      </c>
    </row>
    <row r="3550">
      <c r="F3550">
        <f>F3549+1</f>
        <v/>
      </c>
      <c r="G3550" s="92">
        <f>EXP($C$12+$C$8*_xlfn.NORM.S.INV(RAND()))</f>
        <v/>
      </c>
    </row>
    <row r="3551">
      <c r="F3551">
        <f>F3550+1</f>
        <v/>
      </c>
      <c r="G3551" s="92">
        <f>EXP($C$12+$C$8*_xlfn.NORM.S.INV(RAND()))</f>
        <v/>
      </c>
    </row>
    <row r="3552">
      <c r="F3552">
        <f>F3551+1</f>
        <v/>
      </c>
      <c r="G3552" s="92">
        <f>EXP($C$12+$C$8*_xlfn.NORM.S.INV(RAND()))</f>
        <v/>
      </c>
    </row>
    <row r="3553">
      <c r="F3553">
        <f>F3552+1</f>
        <v/>
      </c>
      <c r="G3553" s="92">
        <f>EXP($C$12+$C$8*_xlfn.NORM.S.INV(RAND()))</f>
        <v/>
      </c>
    </row>
    <row r="3554">
      <c r="F3554">
        <f>F3553+1</f>
        <v/>
      </c>
      <c r="G3554" s="92">
        <f>EXP($C$12+$C$8*_xlfn.NORM.S.INV(RAND()))</f>
        <v/>
      </c>
    </row>
    <row r="3555">
      <c r="F3555">
        <f>F3554+1</f>
        <v/>
      </c>
      <c r="G3555" s="92">
        <f>EXP($C$12+$C$8*_xlfn.NORM.S.INV(RAND()))</f>
        <v/>
      </c>
    </row>
    <row r="3556">
      <c r="F3556">
        <f>F3555+1</f>
        <v/>
      </c>
      <c r="G3556" s="92">
        <f>EXP($C$12+$C$8*_xlfn.NORM.S.INV(RAND()))</f>
        <v/>
      </c>
    </row>
    <row r="3557">
      <c r="F3557">
        <f>F3556+1</f>
        <v/>
      </c>
      <c r="G3557" s="92">
        <f>EXP($C$12+$C$8*_xlfn.NORM.S.INV(RAND()))</f>
        <v/>
      </c>
    </row>
    <row r="3558">
      <c r="F3558">
        <f>F3557+1</f>
        <v/>
      </c>
      <c r="G3558" s="92">
        <f>EXP($C$12+$C$8*_xlfn.NORM.S.INV(RAND()))</f>
        <v/>
      </c>
    </row>
    <row r="3559">
      <c r="F3559">
        <f>F3558+1</f>
        <v/>
      </c>
      <c r="G3559" s="92">
        <f>EXP($C$12+$C$8*_xlfn.NORM.S.INV(RAND()))</f>
        <v/>
      </c>
    </row>
    <row r="3560">
      <c r="F3560">
        <f>F3559+1</f>
        <v/>
      </c>
      <c r="G3560" s="92">
        <f>EXP($C$12+$C$8*_xlfn.NORM.S.INV(RAND()))</f>
        <v/>
      </c>
    </row>
    <row r="3561">
      <c r="F3561">
        <f>F3560+1</f>
        <v/>
      </c>
      <c r="G3561" s="92">
        <f>EXP($C$12+$C$8*_xlfn.NORM.S.INV(RAND()))</f>
        <v/>
      </c>
    </row>
    <row r="3562">
      <c r="F3562">
        <f>F3561+1</f>
        <v/>
      </c>
      <c r="G3562" s="92">
        <f>EXP($C$12+$C$8*_xlfn.NORM.S.INV(RAND()))</f>
        <v/>
      </c>
    </row>
    <row r="3563">
      <c r="F3563">
        <f>F3562+1</f>
        <v/>
      </c>
      <c r="G3563" s="92">
        <f>EXP($C$12+$C$8*_xlfn.NORM.S.INV(RAND()))</f>
        <v/>
      </c>
    </row>
    <row r="3564">
      <c r="F3564">
        <f>F3563+1</f>
        <v/>
      </c>
      <c r="G3564" s="92">
        <f>EXP($C$12+$C$8*_xlfn.NORM.S.INV(RAND()))</f>
        <v/>
      </c>
    </row>
    <row r="3565">
      <c r="F3565">
        <f>F3564+1</f>
        <v/>
      </c>
      <c r="G3565" s="92">
        <f>EXP($C$12+$C$8*_xlfn.NORM.S.INV(RAND()))</f>
        <v/>
      </c>
    </row>
    <row r="3566">
      <c r="F3566">
        <f>F3565+1</f>
        <v/>
      </c>
      <c r="G3566" s="92">
        <f>EXP($C$12+$C$8*_xlfn.NORM.S.INV(RAND()))</f>
        <v/>
      </c>
    </row>
    <row r="3567">
      <c r="F3567">
        <f>F3566+1</f>
        <v/>
      </c>
      <c r="G3567" s="92">
        <f>EXP($C$12+$C$8*_xlfn.NORM.S.INV(RAND()))</f>
        <v/>
      </c>
    </row>
    <row r="3568">
      <c r="F3568">
        <f>F3567+1</f>
        <v/>
      </c>
      <c r="G3568" s="92">
        <f>EXP($C$12+$C$8*_xlfn.NORM.S.INV(RAND()))</f>
        <v/>
      </c>
    </row>
    <row r="3569">
      <c r="F3569">
        <f>F3568+1</f>
        <v/>
      </c>
      <c r="G3569" s="92">
        <f>EXP($C$12+$C$8*_xlfn.NORM.S.INV(RAND()))</f>
        <v/>
      </c>
    </row>
    <row r="3570">
      <c r="F3570">
        <f>F3569+1</f>
        <v/>
      </c>
      <c r="G3570" s="92">
        <f>EXP($C$12+$C$8*_xlfn.NORM.S.INV(RAND()))</f>
        <v/>
      </c>
    </row>
    <row r="3571">
      <c r="F3571">
        <f>F3570+1</f>
        <v/>
      </c>
      <c r="G3571" s="92">
        <f>EXP($C$12+$C$8*_xlfn.NORM.S.INV(RAND()))</f>
        <v/>
      </c>
    </row>
    <row r="3572">
      <c r="F3572">
        <f>F3571+1</f>
        <v/>
      </c>
      <c r="G3572" s="92">
        <f>EXP($C$12+$C$8*_xlfn.NORM.S.INV(RAND()))</f>
        <v/>
      </c>
    </row>
    <row r="3573">
      <c r="F3573">
        <f>F3572+1</f>
        <v/>
      </c>
      <c r="G3573" s="92">
        <f>EXP($C$12+$C$8*_xlfn.NORM.S.INV(RAND()))</f>
        <v/>
      </c>
    </row>
    <row r="3574">
      <c r="F3574">
        <f>F3573+1</f>
        <v/>
      </c>
      <c r="G3574" s="92">
        <f>EXP($C$12+$C$8*_xlfn.NORM.S.INV(RAND()))</f>
        <v/>
      </c>
    </row>
    <row r="3575">
      <c r="F3575">
        <f>F3574+1</f>
        <v/>
      </c>
      <c r="G3575" s="92">
        <f>EXP($C$12+$C$8*_xlfn.NORM.S.INV(RAND()))</f>
        <v/>
      </c>
    </row>
    <row r="3576">
      <c r="F3576">
        <f>F3575+1</f>
        <v/>
      </c>
      <c r="G3576" s="92">
        <f>EXP($C$12+$C$8*_xlfn.NORM.S.INV(RAND()))</f>
        <v/>
      </c>
    </row>
    <row r="3577">
      <c r="F3577">
        <f>F3576+1</f>
        <v/>
      </c>
      <c r="G3577" s="92">
        <f>EXP($C$12+$C$8*_xlfn.NORM.S.INV(RAND()))</f>
        <v/>
      </c>
    </row>
    <row r="3578">
      <c r="F3578">
        <f>F3577+1</f>
        <v/>
      </c>
      <c r="G3578" s="92">
        <f>EXP($C$12+$C$8*_xlfn.NORM.S.INV(RAND()))</f>
        <v/>
      </c>
    </row>
    <row r="3579">
      <c r="F3579">
        <f>F3578+1</f>
        <v/>
      </c>
      <c r="G3579" s="92">
        <f>EXP($C$12+$C$8*_xlfn.NORM.S.INV(RAND()))</f>
        <v/>
      </c>
    </row>
    <row r="3580">
      <c r="F3580">
        <f>F3579+1</f>
        <v/>
      </c>
      <c r="G3580" s="92">
        <f>EXP($C$12+$C$8*_xlfn.NORM.S.INV(RAND()))</f>
        <v/>
      </c>
    </row>
    <row r="3581">
      <c r="F3581">
        <f>F3580+1</f>
        <v/>
      </c>
      <c r="G3581" s="92">
        <f>EXP($C$12+$C$8*_xlfn.NORM.S.INV(RAND()))</f>
        <v/>
      </c>
    </row>
    <row r="3582">
      <c r="F3582">
        <f>F3581+1</f>
        <v/>
      </c>
      <c r="G3582" s="92">
        <f>EXP($C$12+$C$8*_xlfn.NORM.S.INV(RAND()))</f>
        <v/>
      </c>
    </row>
    <row r="3583">
      <c r="F3583">
        <f>F3582+1</f>
        <v/>
      </c>
      <c r="G3583" s="92">
        <f>EXP($C$12+$C$8*_xlfn.NORM.S.INV(RAND()))</f>
        <v/>
      </c>
    </row>
    <row r="3584">
      <c r="F3584">
        <f>F3583+1</f>
        <v/>
      </c>
      <c r="G3584" s="92">
        <f>EXP($C$12+$C$8*_xlfn.NORM.S.INV(RAND()))</f>
        <v/>
      </c>
    </row>
    <row r="3585">
      <c r="F3585">
        <f>F3584+1</f>
        <v/>
      </c>
      <c r="G3585" s="92">
        <f>EXP($C$12+$C$8*_xlfn.NORM.S.INV(RAND()))</f>
        <v/>
      </c>
    </row>
    <row r="3586">
      <c r="F3586">
        <f>F3585+1</f>
        <v/>
      </c>
      <c r="G3586" s="92">
        <f>EXP($C$12+$C$8*_xlfn.NORM.S.INV(RAND()))</f>
        <v/>
      </c>
    </row>
    <row r="3587">
      <c r="F3587">
        <f>F3586+1</f>
        <v/>
      </c>
      <c r="G3587" s="92">
        <f>EXP($C$12+$C$8*_xlfn.NORM.S.INV(RAND()))</f>
        <v/>
      </c>
    </row>
    <row r="3588">
      <c r="F3588">
        <f>F3587+1</f>
        <v/>
      </c>
      <c r="G3588" s="92">
        <f>EXP($C$12+$C$8*_xlfn.NORM.S.INV(RAND()))</f>
        <v/>
      </c>
    </row>
    <row r="3589">
      <c r="F3589">
        <f>F3588+1</f>
        <v/>
      </c>
      <c r="G3589" s="92">
        <f>EXP($C$12+$C$8*_xlfn.NORM.S.INV(RAND()))</f>
        <v/>
      </c>
    </row>
    <row r="3590">
      <c r="F3590">
        <f>F3589+1</f>
        <v/>
      </c>
      <c r="G3590" s="92">
        <f>EXP($C$12+$C$8*_xlfn.NORM.S.INV(RAND()))</f>
        <v/>
      </c>
    </row>
    <row r="3591">
      <c r="F3591">
        <f>F3590+1</f>
        <v/>
      </c>
      <c r="G3591" s="92">
        <f>EXP($C$12+$C$8*_xlfn.NORM.S.INV(RAND()))</f>
        <v/>
      </c>
    </row>
    <row r="3592">
      <c r="F3592">
        <f>F3591+1</f>
        <v/>
      </c>
      <c r="G3592" s="92">
        <f>EXP($C$12+$C$8*_xlfn.NORM.S.INV(RAND()))</f>
        <v/>
      </c>
    </row>
    <row r="3593">
      <c r="F3593">
        <f>F3592+1</f>
        <v/>
      </c>
      <c r="G3593" s="92">
        <f>EXP($C$12+$C$8*_xlfn.NORM.S.INV(RAND()))</f>
        <v/>
      </c>
    </row>
    <row r="3594">
      <c r="F3594">
        <f>F3593+1</f>
        <v/>
      </c>
      <c r="G3594" s="92">
        <f>EXP($C$12+$C$8*_xlfn.NORM.S.INV(RAND()))</f>
        <v/>
      </c>
    </row>
    <row r="3595">
      <c r="F3595">
        <f>F3594+1</f>
        <v/>
      </c>
      <c r="G3595" s="92">
        <f>EXP($C$12+$C$8*_xlfn.NORM.S.INV(RAND()))</f>
        <v/>
      </c>
    </row>
    <row r="3596">
      <c r="F3596">
        <f>F3595+1</f>
        <v/>
      </c>
      <c r="G3596" s="92">
        <f>EXP($C$12+$C$8*_xlfn.NORM.S.INV(RAND()))</f>
        <v/>
      </c>
    </row>
    <row r="3597">
      <c r="F3597">
        <f>F3596+1</f>
        <v/>
      </c>
      <c r="G3597" s="92">
        <f>EXP($C$12+$C$8*_xlfn.NORM.S.INV(RAND()))</f>
        <v/>
      </c>
    </row>
    <row r="3598">
      <c r="F3598">
        <f>F3597+1</f>
        <v/>
      </c>
      <c r="G3598" s="92">
        <f>EXP($C$12+$C$8*_xlfn.NORM.S.INV(RAND()))</f>
        <v/>
      </c>
    </row>
    <row r="3599">
      <c r="F3599">
        <f>F3598+1</f>
        <v/>
      </c>
      <c r="G3599" s="92">
        <f>EXP($C$12+$C$8*_xlfn.NORM.S.INV(RAND()))</f>
        <v/>
      </c>
    </row>
    <row r="3600">
      <c r="F3600">
        <f>F3599+1</f>
        <v/>
      </c>
      <c r="G3600" s="92">
        <f>EXP($C$12+$C$8*_xlfn.NORM.S.INV(RAND()))</f>
        <v/>
      </c>
    </row>
    <row r="3601">
      <c r="F3601">
        <f>F3600+1</f>
        <v/>
      </c>
      <c r="G3601" s="92">
        <f>EXP($C$12+$C$8*_xlfn.NORM.S.INV(RAND()))</f>
        <v/>
      </c>
    </row>
    <row r="3602">
      <c r="F3602">
        <f>F3601+1</f>
        <v/>
      </c>
      <c r="G3602" s="92">
        <f>EXP($C$12+$C$8*_xlfn.NORM.S.INV(RAND()))</f>
        <v/>
      </c>
    </row>
    <row r="3603">
      <c r="F3603">
        <f>F3602+1</f>
        <v/>
      </c>
      <c r="G3603" s="92">
        <f>EXP($C$12+$C$8*_xlfn.NORM.S.INV(RAND()))</f>
        <v/>
      </c>
    </row>
    <row r="3604">
      <c r="F3604">
        <f>F3603+1</f>
        <v/>
      </c>
      <c r="G3604" s="92">
        <f>EXP($C$12+$C$8*_xlfn.NORM.S.INV(RAND()))</f>
        <v/>
      </c>
    </row>
    <row r="3605">
      <c r="F3605">
        <f>F3604+1</f>
        <v/>
      </c>
      <c r="G3605" s="92">
        <f>EXP($C$12+$C$8*_xlfn.NORM.S.INV(RAND()))</f>
        <v/>
      </c>
    </row>
    <row r="3606">
      <c r="F3606">
        <f>F3605+1</f>
        <v/>
      </c>
      <c r="G3606" s="92">
        <f>EXP($C$12+$C$8*_xlfn.NORM.S.INV(RAND()))</f>
        <v/>
      </c>
    </row>
    <row r="3607">
      <c r="F3607">
        <f>F3606+1</f>
        <v/>
      </c>
      <c r="G3607" s="92">
        <f>EXP($C$12+$C$8*_xlfn.NORM.S.INV(RAND()))</f>
        <v/>
      </c>
    </row>
    <row r="3608">
      <c r="F3608">
        <f>F3607+1</f>
        <v/>
      </c>
      <c r="G3608" s="92">
        <f>EXP($C$12+$C$8*_xlfn.NORM.S.INV(RAND()))</f>
        <v/>
      </c>
    </row>
    <row r="3609">
      <c r="F3609">
        <f>F3608+1</f>
        <v/>
      </c>
      <c r="G3609" s="92">
        <f>EXP($C$12+$C$8*_xlfn.NORM.S.INV(RAND()))</f>
        <v/>
      </c>
    </row>
    <row r="3610">
      <c r="F3610">
        <f>F3609+1</f>
        <v/>
      </c>
      <c r="G3610" s="92">
        <f>EXP($C$12+$C$8*_xlfn.NORM.S.INV(RAND()))</f>
        <v/>
      </c>
    </row>
    <row r="3611">
      <c r="F3611">
        <f>F3610+1</f>
        <v/>
      </c>
      <c r="G3611" s="92">
        <f>EXP($C$12+$C$8*_xlfn.NORM.S.INV(RAND()))</f>
        <v/>
      </c>
    </row>
    <row r="3612">
      <c r="F3612">
        <f>F3611+1</f>
        <v/>
      </c>
      <c r="G3612" s="92">
        <f>EXP($C$12+$C$8*_xlfn.NORM.S.INV(RAND()))</f>
        <v/>
      </c>
    </row>
    <row r="3613">
      <c r="F3613">
        <f>F3612+1</f>
        <v/>
      </c>
      <c r="G3613" s="92">
        <f>EXP($C$12+$C$8*_xlfn.NORM.S.INV(RAND()))</f>
        <v/>
      </c>
    </row>
    <row r="3614">
      <c r="F3614">
        <f>F3613+1</f>
        <v/>
      </c>
      <c r="G3614" s="92">
        <f>EXP($C$12+$C$8*_xlfn.NORM.S.INV(RAND()))</f>
        <v/>
      </c>
    </row>
    <row r="3615">
      <c r="F3615">
        <f>F3614+1</f>
        <v/>
      </c>
      <c r="G3615" s="92">
        <f>EXP($C$12+$C$8*_xlfn.NORM.S.INV(RAND()))</f>
        <v/>
      </c>
    </row>
    <row r="3616">
      <c r="F3616">
        <f>F3615+1</f>
        <v/>
      </c>
      <c r="G3616" s="92">
        <f>EXP($C$12+$C$8*_xlfn.NORM.S.INV(RAND()))</f>
        <v/>
      </c>
    </row>
    <row r="3617">
      <c r="F3617">
        <f>F3616+1</f>
        <v/>
      </c>
      <c r="G3617" s="92">
        <f>EXP($C$12+$C$8*_xlfn.NORM.S.INV(RAND()))</f>
        <v/>
      </c>
    </row>
    <row r="3618">
      <c r="F3618">
        <f>F3617+1</f>
        <v/>
      </c>
      <c r="G3618" s="92">
        <f>EXP($C$12+$C$8*_xlfn.NORM.S.INV(RAND()))</f>
        <v/>
      </c>
    </row>
    <row r="3619">
      <c r="F3619">
        <f>F3618+1</f>
        <v/>
      </c>
      <c r="G3619" s="92">
        <f>EXP($C$12+$C$8*_xlfn.NORM.S.INV(RAND()))</f>
        <v/>
      </c>
    </row>
    <row r="3620">
      <c r="F3620">
        <f>F3619+1</f>
        <v/>
      </c>
      <c r="G3620" s="92">
        <f>EXP($C$12+$C$8*_xlfn.NORM.S.INV(RAND()))</f>
        <v/>
      </c>
    </row>
    <row r="3621">
      <c r="F3621">
        <f>F3620+1</f>
        <v/>
      </c>
      <c r="G3621" s="92">
        <f>EXP($C$12+$C$8*_xlfn.NORM.S.INV(RAND()))</f>
        <v/>
      </c>
    </row>
    <row r="3622">
      <c r="F3622">
        <f>F3621+1</f>
        <v/>
      </c>
      <c r="G3622" s="92">
        <f>EXP($C$12+$C$8*_xlfn.NORM.S.INV(RAND()))</f>
        <v/>
      </c>
    </row>
    <row r="3623">
      <c r="F3623">
        <f>F3622+1</f>
        <v/>
      </c>
      <c r="G3623" s="92">
        <f>EXP($C$12+$C$8*_xlfn.NORM.S.INV(RAND()))</f>
        <v/>
      </c>
    </row>
    <row r="3624">
      <c r="F3624">
        <f>F3623+1</f>
        <v/>
      </c>
      <c r="G3624" s="92">
        <f>EXP($C$12+$C$8*_xlfn.NORM.S.INV(RAND()))</f>
        <v/>
      </c>
    </row>
    <row r="3625">
      <c r="F3625">
        <f>F3624+1</f>
        <v/>
      </c>
      <c r="G3625" s="92">
        <f>EXP($C$12+$C$8*_xlfn.NORM.S.INV(RAND()))</f>
        <v/>
      </c>
    </row>
    <row r="3626">
      <c r="F3626">
        <f>F3625+1</f>
        <v/>
      </c>
      <c r="G3626" s="92">
        <f>EXP($C$12+$C$8*_xlfn.NORM.S.INV(RAND()))</f>
        <v/>
      </c>
    </row>
    <row r="3627">
      <c r="F3627">
        <f>F3626+1</f>
        <v/>
      </c>
      <c r="G3627" s="92">
        <f>EXP($C$12+$C$8*_xlfn.NORM.S.INV(RAND()))</f>
        <v/>
      </c>
    </row>
    <row r="3628">
      <c r="F3628">
        <f>F3627+1</f>
        <v/>
      </c>
      <c r="G3628" s="92">
        <f>EXP($C$12+$C$8*_xlfn.NORM.S.INV(RAND()))</f>
        <v/>
      </c>
    </row>
    <row r="3629">
      <c r="F3629">
        <f>F3628+1</f>
        <v/>
      </c>
      <c r="G3629" s="92">
        <f>EXP($C$12+$C$8*_xlfn.NORM.S.INV(RAND()))</f>
        <v/>
      </c>
    </row>
    <row r="3630">
      <c r="F3630">
        <f>F3629+1</f>
        <v/>
      </c>
      <c r="G3630" s="92">
        <f>EXP($C$12+$C$8*_xlfn.NORM.S.INV(RAND()))</f>
        <v/>
      </c>
    </row>
    <row r="3631">
      <c r="F3631">
        <f>F3630+1</f>
        <v/>
      </c>
      <c r="G3631" s="92">
        <f>EXP($C$12+$C$8*_xlfn.NORM.S.INV(RAND()))</f>
        <v/>
      </c>
    </row>
    <row r="3632">
      <c r="F3632">
        <f>F3631+1</f>
        <v/>
      </c>
      <c r="G3632" s="92">
        <f>EXP($C$12+$C$8*_xlfn.NORM.S.INV(RAND()))</f>
        <v/>
      </c>
    </row>
    <row r="3633">
      <c r="F3633">
        <f>F3632+1</f>
        <v/>
      </c>
      <c r="G3633" s="92">
        <f>EXP($C$12+$C$8*_xlfn.NORM.S.INV(RAND()))</f>
        <v/>
      </c>
    </row>
    <row r="3634">
      <c r="F3634">
        <f>F3633+1</f>
        <v/>
      </c>
      <c r="G3634" s="92">
        <f>EXP($C$12+$C$8*_xlfn.NORM.S.INV(RAND()))</f>
        <v/>
      </c>
    </row>
    <row r="3635">
      <c r="F3635">
        <f>F3634+1</f>
        <v/>
      </c>
      <c r="G3635" s="92">
        <f>EXP($C$12+$C$8*_xlfn.NORM.S.INV(RAND()))</f>
        <v/>
      </c>
    </row>
    <row r="3636">
      <c r="F3636">
        <f>F3635+1</f>
        <v/>
      </c>
      <c r="G3636" s="92">
        <f>EXP($C$12+$C$8*_xlfn.NORM.S.INV(RAND()))</f>
        <v/>
      </c>
    </row>
    <row r="3637">
      <c r="F3637">
        <f>F3636+1</f>
        <v/>
      </c>
      <c r="G3637" s="92">
        <f>EXP($C$12+$C$8*_xlfn.NORM.S.INV(RAND()))</f>
        <v/>
      </c>
    </row>
    <row r="3638">
      <c r="F3638">
        <f>F3637+1</f>
        <v/>
      </c>
      <c r="G3638" s="92">
        <f>EXP($C$12+$C$8*_xlfn.NORM.S.INV(RAND()))</f>
        <v/>
      </c>
    </row>
    <row r="3639">
      <c r="F3639">
        <f>F3638+1</f>
        <v/>
      </c>
      <c r="G3639" s="92">
        <f>EXP($C$12+$C$8*_xlfn.NORM.S.INV(RAND()))</f>
        <v/>
      </c>
    </row>
    <row r="3640">
      <c r="F3640">
        <f>F3639+1</f>
        <v/>
      </c>
      <c r="G3640" s="92">
        <f>EXP($C$12+$C$8*_xlfn.NORM.S.INV(RAND()))</f>
        <v/>
      </c>
    </row>
    <row r="3641">
      <c r="F3641">
        <f>F3640+1</f>
        <v/>
      </c>
      <c r="G3641" s="92">
        <f>EXP($C$12+$C$8*_xlfn.NORM.S.INV(RAND()))</f>
        <v/>
      </c>
    </row>
    <row r="3642">
      <c r="F3642">
        <f>F3641+1</f>
        <v/>
      </c>
      <c r="G3642" s="92">
        <f>EXP($C$12+$C$8*_xlfn.NORM.S.INV(RAND()))</f>
        <v/>
      </c>
    </row>
    <row r="3643">
      <c r="F3643">
        <f>F3642+1</f>
        <v/>
      </c>
      <c r="G3643" s="92">
        <f>EXP($C$12+$C$8*_xlfn.NORM.S.INV(RAND()))</f>
        <v/>
      </c>
    </row>
    <row r="3644">
      <c r="F3644">
        <f>F3643+1</f>
        <v/>
      </c>
      <c r="G3644" s="92">
        <f>EXP($C$12+$C$8*_xlfn.NORM.S.INV(RAND()))</f>
        <v/>
      </c>
    </row>
    <row r="3645">
      <c r="F3645">
        <f>F3644+1</f>
        <v/>
      </c>
      <c r="G3645" s="92">
        <f>EXP($C$12+$C$8*_xlfn.NORM.S.INV(RAND()))</f>
        <v/>
      </c>
    </row>
    <row r="3646">
      <c r="F3646">
        <f>F3645+1</f>
        <v/>
      </c>
      <c r="G3646" s="92">
        <f>EXP($C$12+$C$8*_xlfn.NORM.S.INV(RAND()))</f>
        <v/>
      </c>
    </row>
    <row r="3647">
      <c r="F3647">
        <f>F3646+1</f>
        <v/>
      </c>
      <c r="G3647" s="92">
        <f>EXP($C$12+$C$8*_xlfn.NORM.S.INV(RAND()))</f>
        <v/>
      </c>
    </row>
    <row r="3648">
      <c r="F3648">
        <f>F3647+1</f>
        <v/>
      </c>
      <c r="G3648" s="92">
        <f>EXP($C$12+$C$8*_xlfn.NORM.S.INV(RAND()))</f>
        <v/>
      </c>
    </row>
    <row r="3649">
      <c r="F3649">
        <f>F3648+1</f>
        <v/>
      </c>
      <c r="G3649" s="92">
        <f>EXP($C$12+$C$8*_xlfn.NORM.S.INV(RAND()))</f>
        <v/>
      </c>
    </row>
    <row r="3650">
      <c r="F3650">
        <f>F3649+1</f>
        <v/>
      </c>
      <c r="G3650" s="92">
        <f>EXP($C$12+$C$8*_xlfn.NORM.S.INV(RAND()))</f>
        <v/>
      </c>
    </row>
    <row r="3651">
      <c r="F3651">
        <f>F3650+1</f>
        <v/>
      </c>
      <c r="G3651" s="92">
        <f>EXP($C$12+$C$8*_xlfn.NORM.S.INV(RAND()))</f>
        <v/>
      </c>
    </row>
    <row r="3652">
      <c r="F3652">
        <f>F3651+1</f>
        <v/>
      </c>
      <c r="G3652" s="92">
        <f>EXP($C$12+$C$8*_xlfn.NORM.S.INV(RAND()))</f>
        <v/>
      </c>
    </row>
    <row r="3653">
      <c r="F3653">
        <f>F3652+1</f>
        <v/>
      </c>
      <c r="G3653" s="92">
        <f>EXP($C$12+$C$8*_xlfn.NORM.S.INV(RAND()))</f>
        <v/>
      </c>
    </row>
    <row r="3654">
      <c r="F3654">
        <f>F3653+1</f>
        <v/>
      </c>
      <c r="G3654" s="92">
        <f>EXP($C$12+$C$8*_xlfn.NORM.S.INV(RAND()))</f>
        <v/>
      </c>
    </row>
    <row r="3655">
      <c r="F3655">
        <f>F3654+1</f>
        <v/>
      </c>
      <c r="G3655" s="92">
        <f>EXP($C$12+$C$8*_xlfn.NORM.S.INV(RAND()))</f>
        <v/>
      </c>
    </row>
    <row r="3656">
      <c r="F3656">
        <f>F3655+1</f>
        <v/>
      </c>
      <c r="G3656" s="92">
        <f>EXP($C$12+$C$8*_xlfn.NORM.S.INV(RAND()))</f>
        <v/>
      </c>
    </row>
    <row r="3657">
      <c r="F3657">
        <f>F3656+1</f>
        <v/>
      </c>
      <c r="G3657" s="92">
        <f>EXP($C$12+$C$8*_xlfn.NORM.S.INV(RAND()))</f>
        <v/>
      </c>
    </row>
    <row r="3658">
      <c r="F3658">
        <f>F3657+1</f>
        <v/>
      </c>
      <c r="G3658" s="92">
        <f>EXP($C$12+$C$8*_xlfn.NORM.S.INV(RAND()))</f>
        <v/>
      </c>
    </row>
    <row r="3659">
      <c r="F3659">
        <f>F3658+1</f>
        <v/>
      </c>
      <c r="G3659" s="92">
        <f>EXP($C$12+$C$8*_xlfn.NORM.S.INV(RAND()))</f>
        <v/>
      </c>
    </row>
    <row r="3660">
      <c r="F3660">
        <f>F3659+1</f>
        <v/>
      </c>
      <c r="G3660" s="92">
        <f>EXP($C$12+$C$8*_xlfn.NORM.S.INV(RAND()))</f>
        <v/>
      </c>
    </row>
    <row r="3661">
      <c r="F3661">
        <f>F3660+1</f>
        <v/>
      </c>
      <c r="G3661" s="92">
        <f>EXP($C$12+$C$8*_xlfn.NORM.S.INV(RAND()))</f>
        <v/>
      </c>
    </row>
    <row r="3662">
      <c r="F3662">
        <f>F3661+1</f>
        <v/>
      </c>
      <c r="G3662" s="92">
        <f>EXP($C$12+$C$8*_xlfn.NORM.S.INV(RAND()))</f>
        <v/>
      </c>
    </row>
    <row r="3663">
      <c r="F3663">
        <f>F3662+1</f>
        <v/>
      </c>
      <c r="G3663" s="92">
        <f>EXP($C$12+$C$8*_xlfn.NORM.S.INV(RAND()))</f>
        <v/>
      </c>
    </row>
    <row r="3664">
      <c r="F3664">
        <f>F3663+1</f>
        <v/>
      </c>
      <c r="G3664" s="92">
        <f>EXP($C$12+$C$8*_xlfn.NORM.S.INV(RAND()))</f>
        <v/>
      </c>
    </row>
    <row r="3665">
      <c r="F3665">
        <f>F3664+1</f>
        <v/>
      </c>
      <c r="G3665" s="92">
        <f>EXP($C$12+$C$8*_xlfn.NORM.S.INV(RAND()))</f>
        <v/>
      </c>
    </row>
    <row r="3666">
      <c r="F3666">
        <f>F3665+1</f>
        <v/>
      </c>
      <c r="G3666" s="92">
        <f>EXP($C$12+$C$8*_xlfn.NORM.S.INV(RAND()))</f>
        <v/>
      </c>
    </row>
    <row r="3667">
      <c r="F3667">
        <f>F3666+1</f>
        <v/>
      </c>
      <c r="G3667" s="92">
        <f>EXP($C$12+$C$8*_xlfn.NORM.S.INV(RAND()))</f>
        <v/>
      </c>
    </row>
    <row r="3668">
      <c r="F3668">
        <f>F3667+1</f>
        <v/>
      </c>
      <c r="G3668" s="92">
        <f>EXP($C$12+$C$8*_xlfn.NORM.S.INV(RAND()))</f>
        <v/>
      </c>
    </row>
    <row r="3669">
      <c r="F3669">
        <f>F3668+1</f>
        <v/>
      </c>
      <c r="G3669" s="92">
        <f>EXP($C$12+$C$8*_xlfn.NORM.S.INV(RAND()))</f>
        <v/>
      </c>
    </row>
    <row r="3670">
      <c r="F3670">
        <f>F3669+1</f>
        <v/>
      </c>
      <c r="G3670" s="92">
        <f>EXP($C$12+$C$8*_xlfn.NORM.S.INV(RAND()))</f>
        <v/>
      </c>
    </row>
    <row r="3671">
      <c r="F3671">
        <f>F3670+1</f>
        <v/>
      </c>
      <c r="G3671" s="92">
        <f>EXP($C$12+$C$8*_xlfn.NORM.S.INV(RAND()))</f>
        <v/>
      </c>
    </row>
    <row r="3672">
      <c r="F3672">
        <f>F3671+1</f>
        <v/>
      </c>
      <c r="G3672" s="92">
        <f>EXP($C$12+$C$8*_xlfn.NORM.S.INV(RAND()))</f>
        <v/>
      </c>
    </row>
    <row r="3673">
      <c r="F3673">
        <f>F3672+1</f>
        <v/>
      </c>
      <c r="G3673" s="92">
        <f>EXP($C$12+$C$8*_xlfn.NORM.S.INV(RAND()))</f>
        <v/>
      </c>
    </row>
    <row r="3674">
      <c r="F3674">
        <f>F3673+1</f>
        <v/>
      </c>
      <c r="G3674" s="92">
        <f>EXP($C$12+$C$8*_xlfn.NORM.S.INV(RAND()))</f>
        <v/>
      </c>
    </row>
    <row r="3675">
      <c r="F3675">
        <f>F3674+1</f>
        <v/>
      </c>
      <c r="G3675" s="92">
        <f>EXP($C$12+$C$8*_xlfn.NORM.S.INV(RAND()))</f>
        <v/>
      </c>
    </row>
    <row r="3676">
      <c r="F3676">
        <f>F3675+1</f>
        <v/>
      </c>
      <c r="G3676" s="92">
        <f>EXP($C$12+$C$8*_xlfn.NORM.S.INV(RAND()))</f>
        <v/>
      </c>
    </row>
    <row r="3677">
      <c r="F3677">
        <f>F3676+1</f>
        <v/>
      </c>
      <c r="G3677" s="92">
        <f>EXP($C$12+$C$8*_xlfn.NORM.S.INV(RAND()))</f>
        <v/>
      </c>
    </row>
    <row r="3678">
      <c r="F3678">
        <f>F3677+1</f>
        <v/>
      </c>
      <c r="G3678" s="92">
        <f>EXP($C$12+$C$8*_xlfn.NORM.S.INV(RAND()))</f>
        <v/>
      </c>
    </row>
    <row r="3679">
      <c r="F3679">
        <f>F3678+1</f>
        <v/>
      </c>
      <c r="G3679" s="92">
        <f>EXP($C$12+$C$8*_xlfn.NORM.S.INV(RAND()))</f>
        <v/>
      </c>
    </row>
    <row r="3680">
      <c r="F3680">
        <f>F3679+1</f>
        <v/>
      </c>
      <c r="G3680" s="92">
        <f>EXP($C$12+$C$8*_xlfn.NORM.S.INV(RAND()))</f>
        <v/>
      </c>
    </row>
    <row r="3681">
      <c r="F3681">
        <f>F3680+1</f>
        <v/>
      </c>
      <c r="G3681" s="92">
        <f>EXP($C$12+$C$8*_xlfn.NORM.S.INV(RAND()))</f>
        <v/>
      </c>
    </row>
    <row r="3682">
      <c r="F3682">
        <f>F3681+1</f>
        <v/>
      </c>
      <c r="G3682" s="92">
        <f>EXP($C$12+$C$8*_xlfn.NORM.S.INV(RAND()))</f>
        <v/>
      </c>
    </row>
    <row r="3683">
      <c r="F3683">
        <f>F3682+1</f>
        <v/>
      </c>
      <c r="G3683" s="92">
        <f>EXP($C$12+$C$8*_xlfn.NORM.S.INV(RAND()))</f>
        <v/>
      </c>
    </row>
    <row r="3684">
      <c r="F3684">
        <f>F3683+1</f>
        <v/>
      </c>
      <c r="G3684" s="92">
        <f>EXP($C$12+$C$8*_xlfn.NORM.S.INV(RAND()))</f>
        <v/>
      </c>
    </row>
    <row r="3685">
      <c r="F3685">
        <f>F3684+1</f>
        <v/>
      </c>
      <c r="G3685" s="92">
        <f>EXP($C$12+$C$8*_xlfn.NORM.S.INV(RAND()))</f>
        <v/>
      </c>
    </row>
    <row r="3686">
      <c r="F3686">
        <f>F3685+1</f>
        <v/>
      </c>
      <c r="G3686" s="92">
        <f>EXP($C$12+$C$8*_xlfn.NORM.S.INV(RAND()))</f>
        <v/>
      </c>
    </row>
    <row r="3687">
      <c r="F3687">
        <f>F3686+1</f>
        <v/>
      </c>
      <c r="G3687" s="92">
        <f>EXP($C$12+$C$8*_xlfn.NORM.S.INV(RAND()))</f>
        <v/>
      </c>
    </row>
    <row r="3688">
      <c r="F3688">
        <f>F3687+1</f>
        <v/>
      </c>
      <c r="G3688" s="92">
        <f>EXP($C$12+$C$8*_xlfn.NORM.S.INV(RAND()))</f>
        <v/>
      </c>
    </row>
    <row r="3689">
      <c r="F3689">
        <f>F3688+1</f>
        <v/>
      </c>
      <c r="G3689" s="92">
        <f>EXP($C$12+$C$8*_xlfn.NORM.S.INV(RAND()))</f>
        <v/>
      </c>
    </row>
    <row r="3690">
      <c r="F3690">
        <f>F3689+1</f>
        <v/>
      </c>
      <c r="G3690" s="92">
        <f>EXP($C$12+$C$8*_xlfn.NORM.S.INV(RAND()))</f>
        <v/>
      </c>
    </row>
    <row r="3691">
      <c r="F3691">
        <f>F3690+1</f>
        <v/>
      </c>
      <c r="G3691" s="92">
        <f>EXP($C$12+$C$8*_xlfn.NORM.S.INV(RAND()))</f>
        <v/>
      </c>
    </row>
    <row r="3692">
      <c r="F3692">
        <f>F3691+1</f>
        <v/>
      </c>
      <c r="G3692" s="92">
        <f>EXP($C$12+$C$8*_xlfn.NORM.S.INV(RAND()))</f>
        <v/>
      </c>
    </row>
    <row r="3693">
      <c r="F3693">
        <f>F3692+1</f>
        <v/>
      </c>
      <c r="G3693" s="92">
        <f>EXP($C$12+$C$8*_xlfn.NORM.S.INV(RAND()))</f>
        <v/>
      </c>
    </row>
    <row r="3694">
      <c r="F3694">
        <f>F3693+1</f>
        <v/>
      </c>
      <c r="G3694" s="92">
        <f>EXP($C$12+$C$8*_xlfn.NORM.S.INV(RAND()))</f>
        <v/>
      </c>
    </row>
    <row r="3695">
      <c r="F3695">
        <f>F3694+1</f>
        <v/>
      </c>
      <c r="G3695" s="92">
        <f>EXP($C$12+$C$8*_xlfn.NORM.S.INV(RAND()))</f>
        <v/>
      </c>
    </row>
    <row r="3696">
      <c r="F3696">
        <f>F3695+1</f>
        <v/>
      </c>
      <c r="G3696" s="92">
        <f>EXP($C$12+$C$8*_xlfn.NORM.S.INV(RAND()))</f>
        <v/>
      </c>
    </row>
    <row r="3697">
      <c r="F3697">
        <f>F3696+1</f>
        <v/>
      </c>
      <c r="G3697" s="92">
        <f>EXP($C$12+$C$8*_xlfn.NORM.S.INV(RAND()))</f>
        <v/>
      </c>
    </row>
    <row r="3698">
      <c r="F3698">
        <f>F3697+1</f>
        <v/>
      </c>
      <c r="G3698" s="92">
        <f>EXP($C$12+$C$8*_xlfn.NORM.S.INV(RAND()))</f>
        <v/>
      </c>
    </row>
    <row r="3699">
      <c r="F3699">
        <f>F3698+1</f>
        <v/>
      </c>
      <c r="G3699" s="92">
        <f>EXP($C$12+$C$8*_xlfn.NORM.S.INV(RAND()))</f>
        <v/>
      </c>
    </row>
    <row r="3700">
      <c r="F3700">
        <f>F3699+1</f>
        <v/>
      </c>
      <c r="G3700" s="92">
        <f>EXP($C$12+$C$8*_xlfn.NORM.S.INV(RAND()))</f>
        <v/>
      </c>
    </row>
    <row r="3701">
      <c r="F3701">
        <f>F3700+1</f>
        <v/>
      </c>
      <c r="G3701" s="92">
        <f>EXP($C$12+$C$8*_xlfn.NORM.S.INV(RAND()))</f>
        <v/>
      </c>
    </row>
    <row r="3702">
      <c r="F3702">
        <f>F3701+1</f>
        <v/>
      </c>
      <c r="G3702" s="92">
        <f>EXP($C$12+$C$8*_xlfn.NORM.S.INV(RAND()))</f>
        <v/>
      </c>
    </row>
    <row r="3703">
      <c r="F3703">
        <f>F3702+1</f>
        <v/>
      </c>
      <c r="G3703" s="92">
        <f>EXP($C$12+$C$8*_xlfn.NORM.S.INV(RAND()))</f>
        <v/>
      </c>
    </row>
    <row r="3704">
      <c r="F3704">
        <f>F3703+1</f>
        <v/>
      </c>
      <c r="G3704" s="92">
        <f>EXP($C$12+$C$8*_xlfn.NORM.S.INV(RAND()))</f>
        <v/>
      </c>
    </row>
    <row r="3705">
      <c r="F3705">
        <f>F3704+1</f>
        <v/>
      </c>
      <c r="G3705" s="92">
        <f>EXP($C$12+$C$8*_xlfn.NORM.S.INV(RAND()))</f>
        <v/>
      </c>
    </row>
    <row r="3706">
      <c r="F3706">
        <f>F3705+1</f>
        <v/>
      </c>
      <c r="G3706" s="92">
        <f>EXP($C$12+$C$8*_xlfn.NORM.S.INV(RAND()))</f>
        <v/>
      </c>
    </row>
    <row r="3707">
      <c r="F3707">
        <f>F3706+1</f>
        <v/>
      </c>
      <c r="G3707" s="92">
        <f>EXP($C$12+$C$8*_xlfn.NORM.S.INV(RAND()))</f>
        <v/>
      </c>
    </row>
    <row r="3708">
      <c r="F3708">
        <f>F3707+1</f>
        <v/>
      </c>
      <c r="G3708" s="92">
        <f>EXP($C$12+$C$8*_xlfn.NORM.S.INV(RAND()))</f>
        <v/>
      </c>
    </row>
    <row r="3709">
      <c r="F3709">
        <f>F3708+1</f>
        <v/>
      </c>
      <c r="G3709" s="92">
        <f>EXP($C$12+$C$8*_xlfn.NORM.S.INV(RAND()))</f>
        <v/>
      </c>
    </row>
    <row r="3710">
      <c r="F3710">
        <f>F3709+1</f>
        <v/>
      </c>
      <c r="G3710" s="92">
        <f>EXP($C$12+$C$8*_xlfn.NORM.S.INV(RAND()))</f>
        <v/>
      </c>
    </row>
    <row r="3711">
      <c r="F3711">
        <f>F3710+1</f>
        <v/>
      </c>
      <c r="G3711" s="92">
        <f>EXP($C$12+$C$8*_xlfn.NORM.S.INV(RAND()))</f>
        <v/>
      </c>
    </row>
    <row r="3712">
      <c r="F3712">
        <f>F3711+1</f>
        <v/>
      </c>
      <c r="G3712" s="92">
        <f>EXP($C$12+$C$8*_xlfn.NORM.S.INV(RAND()))</f>
        <v/>
      </c>
    </row>
    <row r="3713">
      <c r="F3713">
        <f>F3712+1</f>
        <v/>
      </c>
      <c r="G3713" s="92">
        <f>EXP($C$12+$C$8*_xlfn.NORM.S.INV(RAND()))</f>
        <v/>
      </c>
    </row>
    <row r="3714">
      <c r="F3714">
        <f>F3713+1</f>
        <v/>
      </c>
      <c r="G3714" s="92">
        <f>EXP($C$12+$C$8*_xlfn.NORM.S.INV(RAND()))</f>
        <v/>
      </c>
    </row>
    <row r="3715">
      <c r="F3715">
        <f>F3714+1</f>
        <v/>
      </c>
      <c r="G3715" s="92">
        <f>EXP($C$12+$C$8*_xlfn.NORM.S.INV(RAND()))</f>
        <v/>
      </c>
    </row>
    <row r="3716">
      <c r="F3716">
        <f>F3715+1</f>
        <v/>
      </c>
      <c r="G3716" s="92">
        <f>EXP($C$12+$C$8*_xlfn.NORM.S.INV(RAND()))</f>
        <v/>
      </c>
    </row>
    <row r="3717">
      <c r="F3717">
        <f>F3716+1</f>
        <v/>
      </c>
      <c r="G3717" s="92">
        <f>EXP($C$12+$C$8*_xlfn.NORM.S.INV(RAND()))</f>
        <v/>
      </c>
    </row>
    <row r="3718">
      <c r="F3718">
        <f>F3717+1</f>
        <v/>
      </c>
      <c r="G3718" s="92">
        <f>EXP($C$12+$C$8*_xlfn.NORM.S.INV(RAND()))</f>
        <v/>
      </c>
    </row>
    <row r="3719">
      <c r="F3719">
        <f>F3718+1</f>
        <v/>
      </c>
      <c r="G3719" s="92">
        <f>EXP($C$12+$C$8*_xlfn.NORM.S.INV(RAND()))</f>
        <v/>
      </c>
    </row>
    <row r="3720">
      <c r="F3720">
        <f>F3719+1</f>
        <v/>
      </c>
      <c r="G3720" s="92">
        <f>EXP($C$12+$C$8*_xlfn.NORM.S.INV(RAND()))</f>
        <v/>
      </c>
    </row>
    <row r="3721">
      <c r="F3721">
        <f>F3720+1</f>
        <v/>
      </c>
      <c r="G3721" s="92">
        <f>EXP($C$12+$C$8*_xlfn.NORM.S.INV(RAND()))</f>
        <v/>
      </c>
    </row>
    <row r="3722">
      <c r="F3722">
        <f>F3721+1</f>
        <v/>
      </c>
      <c r="G3722" s="92">
        <f>EXP($C$12+$C$8*_xlfn.NORM.S.INV(RAND()))</f>
        <v/>
      </c>
    </row>
    <row r="3723">
      <c r="F3723">
        <f>F3722+1</f>
        <v/>
      </c>
      <c r="G3723" s="92">
        <f>EXP($C$12+$C$8*_xlfn.NORM.S.INV(RAND()))</f>
        <v/>
      </c>
    </row>
    <row r="3724">
      <c r="F3724">
        <f>F3723+1</f>
        <v/>
      </c>
      <c r="G3724" s="92">
        <f>EXP($C$12+$C$8*_xlfn.NORM.S.INV(RAND()))</f>
        <v/>
      </c>
    </row>
    <row r="3725">
      <c r="F3725">
        <f>F3724+1</f>
        <v/>
      </c>
      <c r="G3725" s="92">
        <f>EXP($C$12+$C$8*_xlfn.NORM.S.INV(RAND()))</f>
        <v/>
      </c>
    </row>
    <row r="3726">
      <c r="F3726">
        <f>F3725+1</f>
        <v/>
      </c>
      <c r="G3726" s="92">
        <f>EXP($C$12+$C$8*_xlfn.NORM.S.INV(RAND()))</f>
        <v/>
      </c>
    </row>
    <row r="3727">
      <c r="F3727">
        <f>F3726+1</f>
        <v/>
      </c>
      <c r="G3727" s="92">
        <f>EXP($C$12+$C$8*_xlfn.NORM.S.INV(RAND()))</f>
        <v/>
      </c>
    </row>
    <row r="3728">
      <c r="F3728">
        <f>F3727+1</f>
        <v/>
      </c>
      <c r="G3728" s="92">
        <f>EXP($C$12+$C$8*_xlfn.NORM.S.INV(RAND()))</f>
        <v/>
      </c>
    </row>
    <row r="3729">
      <c r="F3729">
        <f>F3728+1</f>
        <v/>
      </c>
      <c r="G3729" s="92">
        <f>EXP($C$12+$C$8*_xlfn.NORM.S.INV(RAND()))</f>
        <v/>
      </c>
    </row>
    <row r="3730">
      <c r="F3730">
        <f>F3729+1</f>
        <v/>
      </c>
      <c r="G3730" s="92">
        <f>EXP($C$12+$C$8*_xlfn.NORM.S.INV(RAND()))</f>
        <v/>
      </c>
    </row>
    <row r="3731">
      <c r="F3731">
        <f>F3730+1</f>
        <v/>
      </c>
      <c r="G3731" s="92">
        <f>EXP($C$12+$C$8*_xlfn.NORM.S.INV(RAND()))</f>
        <v/>
      </c>
    </row>
    <row r="3732">
      <c r="F3732">
        <f>F3731+1</f>
        <v/>
      </c>
      <c r="G3732" s="92">
        <f>EXP($C$12+$C$8*_xlfn.NORM.S.INV(RAND()))</f>
        <v/>
      </c>
    </row>
    <row r="3733">
      <c r="F3733">
        <f>F3732+1</f>
        <v/>
      </c>
      <c r="G3733" s="92">
        <f>EXP($C$12+$C$8*_xlfn.NORM.S.INV(RAND()))</f>
        <v/>
      </c>
    </row>
    <row r="3734">
      <c r="F3734">
        <f>F3733+1</f>
        <v/>
      </c>
      <c r="G3734" s="92">
        <f>EXP($C$12+$C$8*_xlfn.NORM.S.INV(RAND()))</f>
        <v/>
      </c>
    </row>
    <row r="3735">
      <c r="F3735">
        <f>F3734+1</f>
        <v/>
      </c>
      <c r="G3735" s="92">
        <f>EXP($C$12+$C$8*_xlfn.NORM.S.INV(RAND()))</f>
        <v/>
      </c>
    </row>
    <row r="3736">
      <c r="F3736">
        <f>F3735+1</f>
        <v/>
      </c>
      <c r="G3736" s="92">
        <f>EXP($C$12+$C$8*_xlfn.NORM.S.INV(RAND()))</f>
        <v/>
      </c>
    </row>
    <row r="3737">
      <c r="F3737">
        <f>F3736+1</f>
        <v/>
      </c>
      <c r="G3737" s="92">
        <f>EXP($C$12+$C$8*_xlfn.NORM.S.INV(RAND()))</f>
        <v/>
      </c>
    </row>
    <row r="3738">
      <c r="F3738">
        <f>F3737+1</f>
        <v/>
      </c>
      <c r="G3738" s="92">
        <f>EXP($C$12+$C$8*_xlfn.NORM.S.INV(RAND()))</f>
        <v/>
      </c>
    </row>
    <row r="3739">
      <c r="F3739">
        <f>F3738+1</f>
        <v/>
      </c>
      <c r="G3739" s="92">
        <f>EXP($C$12+$C$8*_xlfn.NORM.S.INV(RAND()))</f>
        <v/>
      </c>
    </row>
    <row r="3740">
      <c r="F3740">
        <f>F3739+1</f>
        <v/>
      </c>
      <c r="G3740" s="92">
        <f>EXP($C$12+$C$8*_xlfn.NORM.S.INV(RAND()))</f>
        <v/>
      </c>
    </row>
    <row r="3741">
      <c r="F3741">
        <f>F3740+1</f>
        <v/>
      </c>
      <c r="G3741" s="92">
        <f>EXP($C$12+$C$8*_xlfn.NORM.S.INV(RAND()))</f>
        <v/>
      </c>
    </row>
    <row r="3742">
      <c r="F3742">
        <f>F3741+1</f>
        <v/>
      </c>
      <c r="G3742" s="92">
        <f>EXP($C$12+$C$8*_xlfn.NORM.S.INV(RAND()))</f>
        <v/>
      </c>
    </row>
    <row r="3743">
      <c r="F3743">
        <f>F3742+1</f>
        <v/>
      </c>
      <c r="G3743" s="92">
        <f>EXP($C$12+$C$8*_xlfn.NORM.S.INV(RAND()))</f>
        <v/>
      </c>
    </row>
    <row r="3744">
      <c r="F3744">
        <f>F3743+1</f>
        <v/>
      </c>
      <c r="G3744" s="92">
        <f>EXP($C$12+$C$8*_xlfn.NORM.S.INV(RAND()))</f>
        <v/>
      </c>
    </row>
    <row r="3745">
      <c r="F3745">
        <f>F3744+1</f>
        <v/>
      </c>
      <c r="G3745" s="92">
        <f>EXP($C$12+$C$8*_xlfn.NORM.S.INV(RAND()))</f>
        <v/>
      </c>
    </row>
    <row r="3746">
      <c r="F3746">
        <f>F3745+1</f>
        <v/>
      </c>
      <c r="G3746" s="92">
        <f>EXP($C$12+$C$8*_xlfn.NORM.S.INV(RAND()))</f>
        <v/>
      </c>
    </row>
    <row r="3747">
      <c r="F3747">
        <f>F3746+1</f>
        <v/>
      </c>
      <c r="G3747" s="92">
        <f>EXP($C$12+$C$8*_xlfn.NORM.S.INV(RAND()))</f>
        <v/>
      </c>
    </row>
    <row r="3748">
      <c r="F3748">
        <f>F3747+1</f>
        <v/>
      </c>
      <c r="G3748" s="92">
        <f>EXP($C$12+$C$8*_xlfn.NORM.S.INV(RAND()))</f>
        <v/>
      </c>
    </row>
    <row r="3749">
      <c r="F3749">
        <f>F3748+1</f>
        <v/>
      </c>
      <c r="G3749" s="92">
        <f>EXP($C$12+$C$8*_xlfn.NORM.S.INV(RAND()))</f>
        <v/>
      </c>
    </row>
    <row r="3750">
      <c r="F3750">
        <f>F3749+1</f>
        <v/>
      </c>
      <c r="G3750" s="92">
        <f>EXP($C$12+$C$8*_xlfn.NORM.S.INV(RAND()))</f>
        <v/>
      </c>
    </row>
    <row r="3751">
      <c r="F3751">
        <f>F3750+1</f>
        <v/>
      </c>
      <c r="G3751" s="92">
        <f>EXP($C$12+$C$8*_xlfn.NORM.S.INV(RAND()))</f>
        <v/>
      </c>
    </row>
    <row r="3752">
      <c r="F3752">
        <f>F3751+1</f>
        <v/>
      </c>
      <c r="G3752" s="92">
        <f>EXP($C$12+$C$8*_xlfn.NORM.S.INV(RAND()))</f>
        <v/>
      </c>
    </row>
    <row r="3753">
      <c r="F3753">
        <f>F3752+1</f>
        <v/>
      </c>
      <c r="G3753" s="92">
        <f>EXP($C$12+$C$8*_xlfn.NORM.S.INV(RAND()))</f>
        <v/>
      </c>
    </row>
    <row r="3754">
      <c r="F3754">
        <f>F3753+1</f>
        <v/>
      </c>
      <c r="G3754" s="92">
        <f>EXP($C$12+$C$8*_xlfn.NORM.S.INV(RAND()))</f>
        <v/>
      </c>
    </row>
    <row r="3755">
      <c r="F3755">
        <f>F3754+1</f>
        <v/>
      </c>
      <c r="G3755" s="92">
        <f>EXP($C$12+$C$8*_xlfn.NORM.S.INV(RAND()))</f>
        <v/>
      </c>
    </row>
    <row r="3756">
      <c r="F3756">
        <f>F3755+1</f>
        <v/>
      </c>
      <c r="G3756" s="92">
        <f>EXP($C$12+$C$8*_xlfn.NORM.S.INV(RAND()))</f>
        <v/>
      </c>
    </row>
    <row r="3757">
      <c r="F3757">
        <f>F3756+1</f>
        <v/>
      </c>
      <c r="G3757" s="92">
        <f>EXP($C$12+$C$8*_xlfn.NORM.S.INV(RAND()))</f>
        <v/>
      </c>
    </row>
    <row r="3758">
      <c r="F3758">
        <f>F3757+1</f>
        <v/>
      </c>
      <c r="G3758" s="92">
        <f>EXP($C$12+$C$8*_xlfn.NORM.S.INV(RAND()))</f>
        <v/>
      </c>
    </row>
    <row r="3759">
      <c r="F3759">
        <f>F3758+1</f>
        <v/>
      </c>
      <c r="G3759" s="92">
        <f>EXP($C$12+$C$8*_xlfn.NORM.S.INV(RAND()))</f>
        <v/>
      </c>
    </row>
    <row r="3760">
      <c r="F3760">
        <f>F3759+1</f>
        <v/>
      </c>
      <c r="G3760" s="92">
        <f>EXP($C$12+$C$8*_xlfn.NORM.S.INV(RAND()))</f>
        <v/>
      </c>
    </row>
    <row r="3761">
      <c r="F3761">
        <f>F3760+1</f>
        <v/>
      </c>
      <c r="G3761" s="92">
        <f>EXP($C$12+$C$8*_xlfn.NORM.S.INV(RAND()))</f>
        <v/>
      </c>
    </row>
    <row r="3762">
      <c r="F3762">
        <f>F3761+1</f>
        <v/>
      </c>
      <c r="G3762" s="92">
        <f>EXP($C$12+$C$8*_xlfn.NORM.S.INV(RAND()))</f>
        <v/>
      </c>
    </row>
    <row r="3763">
      <c r="F3763">
        <f>F3762+1</f>
        <v/>
      </c>
      <c r="G3763" s="92">
        <f>EXP($C$12+$C$8*_xlfn.NORM.S.INV(RAND()))</f>
        <v/>
      </c>
    </row>
    <row r="3764">
      <c r="F3764">
        <f>F3763+1</f>
        <v/>
      </c>
      <c r="G3764" s="92">
        <f>EXP($C$12+$C$8*_xlfn.NORM.S.INV(RAND()))</f>
        <v/>
      </c>
    </row>
    <row r="3765">
      <c r="F3765">
        <f>F3764+1</f>
        <v/>
      </c>
      <c r="G3765" s="92">
        <f>EXP($C$12+$C$8*_xlfn.NORM.S.INV(RAND()))</f>
        <v/>
      </c>
    </row>
    <row r="3766">
      <c r="F3766">
        <f>F3765+1</f>
        <v/>
      </c>
      <c r="G3766" s="92">
        <f>EXP($C$12+$C$8*_xlfn.NORM.S.INV(RAND()))</f>
        <v/>
      </c>
    </row>
    <row r="3767">
      <c r="F3767">
        <f>F3766+1</f>
        <v/>
      </c>
      <c r="G3767" s="92">
        <f>EXP($C$12+$C$8*_xlfn.NORM.S.INV(RAND()))</f>
        <v/>
      </c>
    </row>
    <row r="3768">
      <c r="F3768">
        <f>F3767+1</f>
        <v/>
      </c>
      <c r="G3768" s="92">
        <f>EXP($C$12+$C$8*_xlfn.NORM.S.INV(RAND()))</f>
        <v/>
      </c>
    </row>
    <row r="3769">
      <c r="F3769">
        <f>F3768+1</f>
        <v/>
      </c>
      <c r="G3769" s="92">
        <f>EXP($C$12+$C$8*_xlfn.NORM.S.INV(RAND()))</f>
        <v/>
      </c>
    </row>
    <row r="3770">
      <c r="F3770">
        <f>F3769+1</f>
        <v/>
      </c>
      <c r="G3770" s="92">
        <f>EXP($C$12+$C$8*_xlfn.NORM.S.INV(RAND()))</f>
        <v/>
      </c>
    </row>
    <row r="3771">
      <c r="F3771">
        <f>F3770+1</f>
        <v/>
      </c>
      <c r="G3771" s="92">
        <f>EXP($C$12+$C$8*_xlfn.NORM.S.INV(RAND()))</f>
        <v/>
      </c>
    </row>
    <row r="3772">
      <c r="F3772">
        <f>F3771+1</f>
        <v/>
      </c>
      <c r="G3772" s="92">
        <f>EXP($C$12+$C$8*_xlfn.NORM.S.INV(RAND()))</f>
        <v/>
      </c>
    </row>
    <row r="3773">
      <c r="F3773">
        <f>F3772+1</f>
        <v/>
      </c>
      <c r="G3773" s="92">
        <f>EXP($C$12+$C$8*_xlfn.NORM.S.INV(RAND()))</f>
        <v/>
      </c>
    </row>
    <row r="3774">
      <c r="F3774">
        <f>F3773+1</f>
        <v/>
      </c>
      <c r="G3774" s="92">
        <f>EXP($C$12+$C$8*_xlfn.NORM.S.INV(RAND()))</f>
        <v/>
      </c>
    </row>
    <row r="3775">
      <c r="F3775">
        <f>F3774+1</f>
        <v/>
      </c>
      <c r="G3775" s="92">
        <f>EXP($C$12+$C$8*_xlfn.NORM.S.INV(RAND()))</f>
        <v/>
      </c>
    </row>
    <row r="3776">
      <c r="F3776">
        <f>F3775+1</f>
        <v/>
      </c>
      <c r="G3776" s="92">
        <f>EXP($C$12+$C$8*_xlfn.NORM.S.INV(RAND()))</f>
        <v/>
      </c>
    </row>
    <row r="3777">
      <c r="F3777">
        <f>F3776+1</f>
        <v/>
      </c>
      <c r="G3777" s="92">
        <f>EXP($C$12+$C$8*_xlfn.NORM.S.INV(RAND()))</f>
        <v/>
      </c>
    </row>
    <row r="3778">
      <c r="F3778">
        <f>F3777+1</f>
        <v/>
      </c>
      <c r="G3778" s="92">
        <f>EXP($C$12+$C$8*_xlfn.NORM.S.INV(RAND()))</f>
        <v/>
      </c>
    </row>
    <row r="3779">
      <c r="F3779">
        <f>F3778+1</f>
        <v/>
      </c>
      <c r="G3779" s="92">
        <f>EXP($C$12+$C$8*_xlfn.NORM.S.INV(RAND()))</f>
        <v/>
      </c>
    </row>
    <row r="3780">
      <c r="F3780">
        <f>F3779+1</f>
        <v/>
      </c>
      <c r="G3780" s="92">
        <f>EXP($C$12+$C$8*_xlfn.NORM.S.INV(RAND()))</f>
        <v/>
      </c>
    </row>
    <row r="3781">
      <c r="F3781">
        <f>F3780+1</f>
        <v/>
      </c>
      <c r="G3781" s="92">
        <f>EXP($C$12+$C$8*_xlfn.NORM.S.INV(RAND()))</f>
        <v/>
      </c>
    </row>
    <row r="3782">
      <c r="F3782">
        <f>F3781+1</f>
        <v/>
      </c>
      <c r="G3782" s="92">
        <f>EXP($C$12+$C$8*_xlfn.NORM.S.INV(RAND()))</f>
        <v/>
      </c>
    </row>
    <row r="3783">
      <c r="F3783">
        <f>F3782+1</f>
        <v/>
      </c>
      <c r="G3783" s="92">
        <f>EXP($C$12+$C$8*_xlfn.NORM.S.INV(RAND()))</f>
        <v/>
      </c>
    </row>
    <row r="3784">
      <c r="F3784">
        <f>F3783+1</f>
        <v/>
      </c>
      <c r="G3784" s="92">
        <f>EXP($C$12+$C$8*_xlfn.NORM.S.INV(RAND()))</f>
        <v/>
      </c>
    </row>
    <row r="3785">
      <c r="F3785">
        <f>F3784+1</f>
        <v/>
      </c>
      <c r="G3785" s="92">
        <f>EXP($C$12+$C$8*_xlfn.NORM.S.INV(RAND()))</f>
        <v/>
      </c>
    </row>
    <row r="3786">
      <c r="F3786">
        <f>F3785+1</f>
        <v/>
      </c>
      <c r="G3786" s="92">
        <f>EXP($C$12+$C$8*_xlfn.NORM.S.INV(RAND()))</f>
        <v/>
      </c>
    </row>
    <row r="3787">
      <c r="F3787">
        <f>F3786+1</f>
        <v/>
      </c>
      <c r="G3787" s="92">
        <f>EXP($C$12+$C$8*_xlfn.NORM.S.INV(RAND()))</f>
        <v/>
      </c>
    </row>
    <row r="3788">
      <c r="F3788">
        <f>F3787+1</f>
        <v/>
      </c>
      <c r="G3788" s="92">
        <f>EXP($C$12+$C$8*_xlfn.NORM.S.INV(RAND()))</f>
        <v/>
      </c>
    </row>
    <row r="3789">
      <c r="F3789">
        <f>F3788+1</f>
        <v/>
      </c>
      <c r="G3789" s="92">
        <f>EXP($C$12+$C$8*_xlfn.NORM.S.INV(RAND()))</f>
        <v/>
      </c>
    </row>
    <row r="3790">
      <c r="F3790">
        <f>F3789+1</f>
        <v/>
      </c>
      <c r="G3790" s="92">
        <f>EXP($C$12+$C$8*_xlfn.NORM.S.INV(RAND()))</f>
        <v/>
      </c>
    </row>
    <row r="3791">
      <c r="F3791">
        <f>F3790+1</f>
        <v/>
      </c>
      <c r="G3791" s="92">
        <f>EXP($C$12+$C$8*_xlfn.NORM.S.INV(RAND()))</f>
        <v/>
      </c>
    </row>
    <row r="3792">
      <c r="F3792">
        <f>F3791+1</f>
        <v/>
      </c>
      <c r="G3792" s="92">
        <f>EXP($C$12+$C$8*_xlfn.NORM.S.INV(RAND()))</f>
        <v/>
      </c>
    </row>
    <row r="3793">
      <c r="F3793">
        <f>F3792+1</f>
        <v/>
      </c>
      <c r="G3793" s="92">
        <f>EXP($C$12+$C$8*_xlfn.NORM.S.INV(RAND()))</f>
        <v/>
      </c>
    </row>
    <row r="3794">
      <c r="F3794">
        <f>F3793+1</f>
        <v/>
      </c>
      <c r="G3794" s="92">
        <f>EXP($C$12+$C$8*_xlfn.NORM.S.INV(RAND()))</f>
        <v/>
      </c>
    </row>
    <row r="3795">
      <c r="F3795">
        <f>F3794+1</f>
        <v/>
      </c>
      <c r="G3795" s="92">
        <f>EXP($C$12+$C$8*_xlfn.NORM.S.INV(RAND()))</f>
        <v/>
      </c>
    </row>
    <row r="3796">
      <c r="F3796">
        <f>F3795+1</f>
        <v/>
      </c>
      <c r="G3796" s="92">
        <f>EXP($C$12+$C$8*_xlfn.NORM.S.INV(RAND()))</f>
        <v/>
      </c>
    </row>
    <row r="3797">
      <c r="F3797">
        <f>F3796+1</f>
        <v/>
      </c>
      <c r="G3797" s="92">
        <f>EXP($C$12+$C$8*_xlfn.NORM.S.INV(RAND()))</f>
        <v/>
      </c>
    </row>
    <row r="3798">
      <c r="F3798">
        <f>F3797+1</f>
        <v/>
      </c>
      <c r="G3798" s="92">
        <f>EXP($C$12+$C$8*_xlfn.NORM.S.INV(RAND()))</f>
        <v/>
      </c>
    </row>
    <row r="3799">
      <c r="F3799">
        <f>F3798+1</f>
        <v/>
      </c>
      <c r="G3799" s="92">
        <f>EXP($C$12+$C$8*_xlfn.NORM.S.INV(RAND()))</f>
        <v/>
      </c>
    </row>
    <row r="3800">
      <c r="F3800">
        <f>F3799+1</f>
        <v/>
      </c>
      <c r="G3800" s="92">
        <f>EXP($C$12+$C$8*_xlfn.NORM.S.INV(RAND()))</f>
        <v/>
      </c>
    </row>
    <row r="3801">
      <c r="F3801">
        <f>F3800+1</f>
        <v/>
      </c>
      <c r="G3801" s="92">
        <f>EXP($C$12+$C$8*_xlfn.NORM.S.INV(RAND()))</f>
        <v/>
      </c>
    </row>
    <row r="3802">
      <c r="F3802">
        <f>F3801+1</f>
        <v/>
      </c>
      <c r="G3802" s="92">
        <f>EXP($C$12+$C$8*_xlfn.NORM.S.INV(RAND()))</f>
        <v/>
      </c>
    </row>
    <row r="3803">
      <c r="F3803">
        <f>F3802+1</f>
        <v/>
      </c>
      <c r="G3803" s="92">
        <f>EXP($C$12+$C$8*_xlfn.NORM.S.INV(RAND()))</f>
        <v/>
      </c>
    </row>
    <row r="3804">
      <c r="F3804">
        <f>F3803+1</f>
        <v/>
      </c>
      <c r="G3804" s="92">
        <f>EXP($C$12+$C$8*_xlfn.NORM.S.INV(RAND()))</f>
        <v/>
      </c>
    </row>
    <row r="3805">
      <c r="F3805">
        <f>F3804+1</f>
        <v/>
      </c>
      <c r="G3805" s="92">
        <f>EXP($C$12+$C$8*_xlfn.NORM.S.INV(RAND()))</f>
        <v/>
      </c>
    </row>
    <row r="3806">
      <c r="F3806">
        <f>F3805+1</f>
        <v/>
      </c>
      <c r="G3806" s="92">
        <f>EXP($C$12+$C$8*_xlfn.NORM.S.INV(RAND()))</f>
        <v/>
      </c>
    </row>
    <row r="3807">
      <c r="F3807">
        <f>F3806+1</f>
        <v/>
      </c>
      <c r="G3807" s="92">
        <f>EXP($C$12+$C$8*_xlfn.NORM.S.INV(RAND()))</f>
        <v/>
      </c>
    </row>
    <row r="3808">
      <c r="F3808">
        <f>F3807+1</f>
        <v/>
      </c>
      <c r="G3808" s="92">
        <f>EXP($C$12+$C$8*_xlfn.NORM.S.INV(RAND()))</f>
        <v/>
      </c>
    </row>
    <row r="3809">
      <c r="F3809">
        <f>F3808+1</f>
        <v/>
      </c>
      <c r="G3809" s="92">
        <f>EXP($C$12+$C$8*_xlfn.NORM.S.INV(RAND()))</f>
        <v/>
      </c>
    </row>
    <row r="3810">
      <c r="F3810">
        <f>F3809+1</f>
        <v/>
      </c>
      <c r="G3810" s="92">
        <f>EXP($C$12+$C$8*_xlfn.NORM.S.INV(RAND()))</f>
        <v/>
      </c>
    </row>
    <row r="3811">
      <c r="F3811">
        <f>F3810+1</f>
        <v/>
      </c>
      <c r="G3811" s="92">
        <f>EXP($C$12+$C$8*_xlfn.NORM.S.INV(RAND()))</f>
        <v/>
      </c>
    </row>
    <row r="3812">
      <c r="F3812">
        <f>F3811+1</f>
        <v/>
      </c>
      <c r="G3812" s="92">
        <f>EXP($C$12+$C$8*_xlfn.NORM.S.INV(RAND()))</f>
        <v/>
      </c>
    </row>
    <row r="3813">
      <c r="F3813">
        <f>F3812+1</f>
        <v/>
      </c>
      <c r="G3813" s="92">
        <f>EXP($C$12+$C$8*_xlfn.NORM.S.INV(RAND()))</f>
        <v/>
      </c>
    </row>
    <row r="3814">
      <c r="F3814">
        <f>F3813+1</f>
        <v/>
      </c>
      <c r="G3814" s="92">
        <f>EXP($C$12+$C$8*_xlfn.NORM.S.INV(RAND()))</f>
        <v/>
      </c>
    </row>
    <row r="3815">
      <c r="F3815">
        <f>F3814+1</f>
        <v/>
      </c>
      <c r="G3815" s="92">
        <f>EXP($C$12+$C$8*_xlfn.NORM.S.INV(RAND()))</f>
        <v/>
      </c>
    </row>
    <row r="3816">
      <c r="F3816">
        <f>F3815+1</f>
        <v/>
      </c>
      <c r="G3816" s="92">
        <f>EXP($C$12+$C$8*_xlfn.NORM.S.INV(RAND()))</f>
        <v/>
      </c>
    </row>
    <row r="3817">
      <c r="F3817">
        <f>F3816+1</f>
        <v/>
      </c>
      <c r="G3817" s="92">
        <f>EXP($C$12+$C$8*_xlfn.NORM.S.INV(RAND()))</f>
        <v/>
      </c>
    </row>
    <row r="3818">
      <c r="F3818">
        <f>F3817+1</f>
        <v/>
      </c>
      <c r="G3818" s="92">
        <f>EXP($C$12+$C$8*_xlfn.NORM.S.INV(RAND()))</f>
        <v/>
      </c>
    </row>
    <row r="3819">
      <c r="F3819">
        <f>F3818+1</f>
        <v/>
      </c>
      <c r="G3819" s="92">
        <f>EXP($C$12+$C$8*_xlfn.NORM.S.INV(RAND()))</f>
        <v/>
      </c>
    </row>
    <row r="3820">
      <c r="F3820">
        <f>F3819+1</f>
        <v/>
      </c>
      <c r="G3820" s="92">
        <f>EXP($C$12+$C$8*_xlfn.NORM.S.INV(RAND()))</f>
        <v/>
      </c>
    </row>
    <row r="3821">
      <c r="F3821">
        <f>F3820+1</f>
        <v/>
      </c>
      <c r="G3821" s="92">
        <f>EXP($C$12+$C$8*_xlfn.NORM.S.INV(RAND()))</f>
        <v/>
      </c>
    </row>
    <row r="3822">
      <c r="F3822">
        <f>F3821+1</f>
        <v/>
      </c>
      <c r="G3822" s="92">
        <f>EXP($C$12+$C$8*_xlfn.NORM.S.INV(RAND()))</f>
        <v/>
      </c>
    </row>
    <row r="3823">
      <c r="F3823">
        <f>F3822+1</f>
        <v/>
      </c>
      <c r="G3823" s="92">
        <f>EXP($C$12+$C$8*_xlfn.NORM.S.INV(RAND()))</f>
        <v/>
      </c>
    </row>
    <row r="3824">
      <c r="F3824">
        <f>F3823+1</f>
        <v/>
      </c>
      <c r="G3824" s="92">
        <f>EXP($C$12+$C$8*_xlfn.NORM.S.INV(RAND()))</f>
        <v/>
      </c>
    </row>
    <row r="3825">
      <c r="F3825">
        <f>F3824+1</f>
        <v/>
      </c>
      <c r="G3825" s="92">
        <f>EXP($C$12+$C$8*_xlfn.NORM.S.INV(RAND()))</f>
        <v/>
      </c>
    </row>
    <row r="3826">
      <c r="F3826">
        <f>F3825+1</f>
        <v/>
      </c>
      <c r="G3826" s="92">
        <f>EXP($C$12+$C$8*_xlfn.NORM.S.INV(RAND()))</f>
        <v/>
      </c>
    </row>
    <row r="3827">
      <c r="F3827">
        <f>F3826+1</f>
        <v/>
      </c>
      <c r="G3827" s="92">
        <f>EXP($C$12+$C$8*_xlfn.NORM.S.INV(RAND()))</f>
        <v/>
      </c>
    </row>
    <row r="3828">
      <c r="F3828">
        <f>F3827+1</f>
        <v/>
      </c>
      <c r="G3828" s="92">
        <f>EXP($C$12+$C$8*_xlfn.NORM.S.INV(RAND()))</f>
        <v/>
      </c>
    </row>
    <row r="3829">
      <c r="F3829">
        <f>F3828+1</f>
        <v/>
      </c>
      <c r="G3829" s="92">
        <f>EXP($C$12+$C$8*_xlfn.NORM.S.INV(RAND()))</f>
        <v/>
      </c>
    </row>
    <row r="3830">
      <c r="F3830">
        <f>F3829+1</f>
        <v/>
      </c>
      <c r="G3830" s="92">
        <f>EXP($C$12+$C$8*_xlfn.NORM.S.INV(RAND()))</f>
        <v/>
      </c>
    </row>
    <row r="3831">
      <c r="F3831">
        <f>F3830+1</f>
        <v/>
      </c>
      <c r="G3831" s="92">
        <f>EXP($C$12+$C$8*_xlfn.NORM.S.INV(RAND()))</f>
        <v/>
      </c>
    </row>
    <row r="3832">
      <c r="F3832">
        <f>F3831+1</f>
        <v/>
      </c>
      <c r="G3832" s="92">
        <f>EXP($C$12+$C$8*_xlfn.NORM.S.INV(RAND()))</f>
        <v/>
      </c>
    </row>
    <row r="3833">
      <c r="F3833">
        <f>F3832+1</f>
        <v/>
      </c>
      <c r="G3833" s="92">
        <f>EXP($C$12+$C$8*_xlfn.NORM.S.INV(RAND()))</f>
        <v/>
      </c>
    </row>
    <row r="3834">
      <c r="F3834">
        <f>F3833+1</f>
        <v/>
      </c>
      <c r="G3834" s="92">
        <f>EXP($C$12+$C$8*_xlfn.NORM.S.INV(RAND()))</f>
        <v/>
      </c>
    </row>
    <row r="3835">
      <c r="F3835">
        <f>F3834+1</f>
        <v/>
      </c>
      <c r="G3835" s="92">
        <f>EXP($C$12+$C$8*_xlfn.NORM.S.INV(RAND()))</f>
        <v/>
      </c>
    </row>
    <row r="3836">
      <c r="F3836">
        <f>F3835+1</f>
        <v/>
      </c>
      <c r="G3836" s="92">
        <f>EXP($C$12+$C$8*_xlfn.NORM.S.INV(RAND()))</f>
        <v/>
      </c>
    </row>
    <row r="3837">
      <c r="F3837">
        <f>F3836+1</f>
        <v/>
      </c>
      <c r="G3837" s="92">
        <f>EXP($C$12+$C$8*_xlfn.NORM.S.INV(RAND()))</f>
        <v/>
      </c>
    </row>
    <row r="3838">
      <c r="F3838">
        <f>F3837+1</f>
        <v/>
      </c>
      <c r="G3838" s="92">
        <f>EXP($C$12+$C$8*_xlfn.NORM.S.INV(RAND()))</f>
        <v/>
      </c>
    </row>
    <row r="3839">
      <c r="F3839">
        <f>F3838+1</f>
        <v/>
      </c>
      <c r="G3839" s="92">
        <f>EXP($C$12+$C$8*_xlfn.NORM.S.INV(RAND()))</f>
        <v/>
      </c>
    </row>
    <row r="3840">
      <c r="F3840">
        <f>F3839+1</f>
        <v/>
      </c>
      <c r="G3840" s="92">
        <f>EXP($C$12+$C$8*_xlfn.NORM.S.INV(RAND()))</f>
        <v/>
      </c>
    </row>
    <row r="3841">
      <c r="F3841">
        <f>F3840+1</f>
        <v/>
      </c>
      <c r="G3841" s="92">
        <f>EXP($C$12+$C$8*_xlfn.NORM.S.INV(RAND()))</f>
        <v/>
      </c>
    </row>
    <row r="3842">
      <c r="F3842">
        <f>F3841+1</f>
        <v/>
      </c>
      <c r="G3842" s="92">
        <f>EXP($C$12+$C$8*_xlfn.NORM.S.INV(RAND()))</f>
        <v/>
      </c>
    </row>
    <row r="3843">
      <c r="F3843">
        <f>F3842+1</f>
        <v/>
      </c>
      <c r="G3843" s="92">
        <f>EXP($C$12+$C$8*_xlfn.NORM.S.INV(RAND()))</f>
        <v/>
      </c>
    </row>
    <row r="3844">
      <c r="F3844">
        <f>F3843+1</f>
        <v/>
      </c>
      <c r="G3844" s="92">
        <f>EXP($C$12+$C$8*_xlfn.NORM.S.INV(RAND()))</f>
        <v/>
      </c>
    </row>
    <row r="3845">
      <c r="F3845">
        <f>F3844+1</f>
        <v/>
      </c>
      <c r="G3845" s="92">
        <f>EXP($C$12+$C$8*_xlfn.NORM.S.INV(RAND()))</f>
        <v/>
      </c>
    </row>
    <row r="3846">
      <c r="F3846">
        <f>F3845+1</f>
        <v/>
      </c>
      <c r="G3846" s="92">
        <f>EXP($C$12+$C$8*_xlfn.NORM.S.INV(RAND()))</f>
        <v/>
      </c>
    </row>
    <row r="3847">
      <c r="F3847">
        <f>F3846+1</f>
        <v/>
      </c>
      <c r="G3847" s="92">
        <f>EXP($C$12+$C$8*_xlfn.NORM.S.INV(RAND()))</f>
        <v/>
      </c>
    </row>
    <row r="3848">
      <c r="F3848">
        <f>F3847+1</f>
        <v/>
      </c>
      <c r="G3848" s="92">
        <f>EXP($C$12+$C$8*_xlfn.NORM.S.INV(RAND()))</f>
        <v/>
      </c>
    </row>
    <row r="3849">
      <c r="F3849">
        <f>F3848+1</f>
        <v/>
      </c>
      <c r="G3849" s="92">
        <f>EXP($C$12+$C$8*_xlfn.NORM.S.INV(RAND()))</f>
        <v/>
      </c>
    </row>
    <row r="3850">
      <c r="F3850">
        <f>F3849+1</f>
        <v/>
      </c>
      <c r="G3850" s="92">
        <f>EXP($C$12+$C$8*_xlfn.NORM.S.INV(RAND()))</f>
        <v/>
      </c>
    </row>
    <row r="3851">
      <c r="F3851">
        <f>F3850+1</f>
        <v/>
      </c>
      <c r="G3851" s="92">
        <f>EXP($C$12+$C$8*_xlfn.NORM.S.INV(RAND()))</f>
        <v/>
      </c>
    </row>
    <row r="3852">
      <c r="F3852">
        <f>F3851+1</f>
        <v/>
      </c>
      <c r="G3852" s="92">
        <f>EXP($C$12+$C$8*_xlfn.NORM.S.INV(RAND()))</f>
        <v/>
      </c>
    </row>
    <row r="3853">
      <c r="F3853">
        <f>F3852+1</f>
        <v/>
      </c>
      <c r="G3853" s="92">
        <f>EXP($C$12+$C$8*_xlfn.NORM.S.INV(RAND()))</f>
        <v/>
      </c>
    </row>
    <row r="3854">
      <c r="F3854">
        <f>F3853+1</f>
        <v/>
      </c>
      <c r="G3854" s="92">
        <f>EXP($C$12+$C$8*_xlfn.NORM.S.INV(RAND()))</f>
        <v/>
      </c>
    </row>
    <row r="3855">
      <c r="F3855">
        <f>F3854+1</f>
        <v/>
      </c>
      <c r="G3855" s="92">
        <f>EXP($C$12+$C$8*_xlfn.NORM.S.INV(RAND()))</f>
        <v/>
      </c>
    </row>
    <row r="3856">
      <c r="F3856">
        <f>F3855+1</f>
        <v/>
      </c>
      <c r="G3856" s="92">
        <f>EXP($C$12+$C$8*_xlfn.NORM.S.INV(RAND()))</f>
        <v/>
      </c>
    </row>
    <row r="3857">
      <c r="F3857">
        <f>F3856+1</f>
        <v/>
      </c>
      <c r="G3857" s="92">
        <f>EXP($C$12+$C$8*_xlfn.NORM.S.INV(RAND()))</f>
        <v/>
      </c>
    </row>
    <row r="3858">
      <c r="F3858">
        <f>F3857+1</f>
        <v/>
      </c>
      <c r="G3858" s="92">
        <f>EXP($C$12+$C$8*_xlfn.NORM.S.INV(RAND()))</f>
        <v/>
      </c>
    </row>
    <row r="3859">
      <c r="F3859">
        <f>F3858+1</f>
        <v/>
      </c>
      <c r="G3859" s="92">
        <f>EXP($C$12+$C$8*_xlfn.NORM.S.INV(RAND()))</f>
        <v/>
      </c>
    </row>
    <row r="3860">
      <c r="F3860">
        <f>F3859+1</f>
        <v/>
      </c>
      <c r="G3860" s="92">
        <f>EXP($C$12+$C$8*_xlfn.NORM.S.INV(RAND()))</f>
        <v/>
      </c>
    </row>
    <row r="3861">
      <c r="F3861">
        <f>F3860+1</f>
        <v/>
      </c>
      <c r="G3861" s="92">
        <f>EXP($C$12+$C$8*_xlfn.NORM.S.INV(RAND()))</f>
        <v/>
      </c>
    </row>
    <row r="3862">
      <c r="F3862">
        <f>F3861+1</f>
        <v/>
      </c>
      <c r="G3862" s="92">
        <f>EXP($C$12+$C$8*_xlfn.NORM.S.INV(RAND()))</f>
        <v/>
      </c>
    </row>
    <row r="3863">
      <c r="F3863">
        <f>F3862+1</f>
        <v/>
      </c>
      <c r="G3863" s="92">
        <f>EXP($C$12+$C$8*_xlfn.NORM.S.INV(RAND()))</f>
        <v/>
      </c>
    </row>
    <row r="3864">
      <c r="F3864">
        <f>F3863+1</f>
        <v/>
      </c>
      <c r="G3864" s="92">
        <f>EXP($C$12+$C$8*_xlfn.NORM.S.INV(RAND()))</f>
        <v/>
      </c>
    </row>
    <row r="3865">
      <c r="F3865">
        <f>F3864+1</f>
        <v/>
      </c>
      <c r="G3865" s="92">
        <f>EXP($C$12+$C$8*_xlfn.NORM.S.INV(RAND()))</f>
        <v/>
      </c>
    </row>
    <row r="3866">
      <c r="F3866">
        <f>F3865+1</f>
        <v/>
      </c>
      <c r="G3866" s="92">
        <f>EXP($C$12+$C$8*_xlfn.NORM.S.INV(RAND()))</f>
        <v/>
      </c>
    </row>
    <row r="3867">
      <c r="F3867">
        <f>F3866+1</f>
        <v/>
      </c>
      <c r="G3867" s="92">
        <f>EXP($C$12+$C$8*_xlfn.NORM.S.INV(RAND()))</f>
        <v/>
      </c>
    </row>
    <row r="3868">
      <c r="F3868">
        <f>F3867+1</f>
        <v/>
      </c>
      <c r="G3868" s="92">
        <f>EXP($C$12+$C$8*_xlfn.NORM.S.INV(RAND()))</f>
        <v/>
      </c>
    </row>
    <row r="3869">
      <c r="F3869">
        <f>F3868+1</f>
        <v/>
      </c>
      <c r="G3869" s="92">
        <f>EXP($C$12+$C$8*_xlfn.NORM.S.INV(RAND()))</f>
        <v/>
      </c>
    </row>
    <row r="3870">
      <c r="F3870">
        <f>F3869+1</f>
        <v/>
      </c>
      <c r="G3870" s="92">
        <f>EXP($C$12+$C$8*_xlfn.NORM.S.INV(RAND()))</f>
        <v/>
      </c>
    </row>
    <row r="3871">
      <c r="F3871">
        <f>F3870+1</f>
        <v/>
      </c>
      <c r="G3871" s="92">
        <f>EXP($C$12+$C$8*_xlfn.NORM.S.INV(RAND()))</f>
        <v/>
      </c>
    </row>
    <row r="3872">
      <c r="F3872">
        <f>F3871+1</f>
        <v/>
      </c>
      <c r="G3872" s="92">
        <f>EXP($C$12+$C$8*_xlfn.NORM.S.INV(RAND()))</f>
        <v/>
      </c>
    </row>
    <row r="3873">
      <c r="F3873">
        <f>F3872+1</f>
        <v/>
      </c>
      <c r="G3873" s="92">
        <f>EXP($C$12+$C$8*_xlfn.NORM.S.INV(RAND()))</f>
        <v/>
      </c>
    </row>
    <row r="3874">
      <c r="F3874">
        <f>F3873+1</f>
        <v/>
      </c>
      <c r="G3874" s="92">
        <f>EXP($C$12+$C$8*_xlfn.NORM.S.INV(RAND()))</f>
        <v/>
      </c>
    </row>
    <row r="3875">
      <c r="F3875">
        <f>F3874+1</f>
        <v/>
      </c>
      <c r="G3875" s="92">
        <f>EXP($C$12+$C$8*_xlfn.NORM.S.INV(RAND()))</f>
        <v/>
      </c>
    </row>
    <row r="3876">
      <c r="F3876">
        <f>F3875+1</f>
        <v/>
      </c>
      <c r="G3876" s="92">
        <f>EXP($C$12+$C$8*_xlfn.NORM.S.INV(RAND()))</f>
        <v/>
      </c>
    </row>
    <row r="3877">
      <c r="F3877">
        <f>F3876+1</f>
        <v/>
      </c>
      <c r="G3877" s="92">
        <f>EXP($C$12+$C$8*_xlfn.NORM.S.INV(RAND()))</f>
        <v/>
      </c>
    </row>
    <row r="3878">
      <c r="F3878">
        <f>F3877+1</f>
        <v/>
      </c>
      <c r="G3878" s="92">
        <f>EXP($C$12+$C$8*_xlfn.NORM.S.INV(RAND()))</f>
        <v/>
      </c>
    </row>
    <row r="3879">
      <c r="F3879">
        <f>F3878+1</f>
        <v/>
      </c>
      <c r="G3879" s="92">
        <f>EXP($C$12+$C$8*_xlfn.NORM.S.INV(RAND()))</f>
        <v/>
      </c>
    </row>
    <row r="3880">
      <c r="F3880">
        <f>F3879+1</f>
        <v/>
      </c>
      <c r="G3880" s="92">
        <f>EXP($C$12+$C$8*_xlfn.NORM.S.INV(RAND()))</f>
        <v/>
      </c>
    </row>
    <row r="3881">
      <c r="F3881">
        <f>F3880+1</f>
        <v/>
      </c>
      <c r="G3881" s="92">
        <f>EXP($C$12+$C$8*_xlfn.NORM.S.INV(RAND()))</f>
        <v/>
      </c>
    </row>
    <row r="3882">
      <c r="F3882">
        <f>F3881+1</f>
        <v/>
      </c>
      <c r="G3882" s="92">
        <f>EXP($C$12+$C$8*_xlfn.NORM.S.INV(RAND()))</f>
        <v/>
      </c>
    </row>
    <row r="3883">
      <c r="F3883">
        <f>F3882+1</f>
        <v/>
      </c>
      <c r="G3883" s="92">
        <f>EXP($C$12+$C$8*_xlfn.NORM.S.INV(RAND()))</f>
        <v/>
      </c>
    </row>
    <row r="3884">
      <c r="F3884">
        <f>F3883+1</f>
        <v/>
      </c>
      <c r="G3884" s="92">
        <f>EXP($C$12+$C$8*_xlfn.NORM.S.INV(RAND()))</f>
        <v/>
      </c>
    </row>
    <row r="3885">
      <c r="F3885">
        <f>F3884+1</f>
        <v/>
      </c>
      <c r="G3885" s="92">
        <f>EXP($C$12+$C$8*_xlfn.NORM.S.INV(RAND()))</f>
        <v/>
      </c>
    </row>
    <row r="3886">
      <c r="F3886">
        <f>F3885+1</f>
        <v/>
      </c>
      <c r="G3886" s="92">
        <f>EXP($C$12+$C$8*_xlfn.NORM.S.INV(RAND()))</f>
        <v/>
      </c>
    </row>
    <row r="3887">
      <c r="F3887">
        <f>F3886+1</f>
        <v/>
      </c>
      <c r="G3887" s="92">
        <f>EXP($C$12+$C$8*_xlfn.NORM.S.INV(RAND()))</f>
        <v/>
      </c>
    </row>
    <row r="3888">
      <c r="F3888">
        <f>F3887+1</f>
        <v/>
      </c>
      <c r="G3888" s="92">
        <f>EXP($C$12+$C$8*_xlfn.NORM.S.INV(RAND()))</f>
        <v/>
      </c>
    </row>
    <row r="3889">
      <c r="F3889">
        <f>F3888+1</f>
        <v/>
      </c>
      <c r="G3889" s="92">
        <f>EXP($C$12+$C$8*_xlfn.NORM.S.INV(RAND()))</f>
        <v/>
      </c>
    </row>
    <row r="3890">
      <c r="F3890">
        <f>F3889+1</f>
        <v/>
      </c>
      <c r="G3890" s="92">
        <f>EXP($C$12+$C$8*_xlfn.NORM.S.INV(RAND()))</f>
        <v/>
      </c>
    </row>
    <row r="3891">
      <c r="F3891">
        <f>F3890+1</f>
        <v/>
      </c>
      <c r="G3891" s="92">
        <f>EXP($C$12+$C$8*_xlfn.NORM.S.INV(RAND()))</f>
        <v/>
      </c>
    </row>
    <row r="3892">
      <c r="F3892">
        <f>F3891+1</f>
        <v/>
      </c>
      <c r="G3892" s="92">
        <f>EXP($C$12+$C$8*_xlfn.NORM.S.INV(RAND()))</f>
        <v/>
      </c>
    </row>
    <row r="3893">
      <c r="F3893">
        <f>F3892+1</f>
        <v/>
      </c>
      <c r="G3893" s="92">
        <f>EXP($C$12+$C$8*_xlfn.NORM.S.INV(RAND()))</f>
        <v/>
      </c>
    </row>
    <row r="3894">
      <c r="F3894">
        <f>F3893+1</f>
        <v/>
      </c>
      <c r="G3894" s="92">
        <f>EXP($C$12+$C$8*_xlfn.NORM.S.INV(RAND()))</f>
        <v/>
      </c>
    </row>
    <row r="3895">
      <c r="F3895">
        <f>F3894+1</f>
        <v/>
      </c>
      <c r="G3895" s="92">
        <f>EXP($C$12+$C$8*_xlfn.NORM.S.INV(RAND()))</f>
        <v/>
      </c>
    </row>
    <row r="3896">
      <c r="F3896">
        <f>F3895+1</f>
        <v/>
      </c>
      <c r="G3896" s="92">
        <f>EXP($C$12+$C$8*_xlfn.NORM.S.INV(RAND()))</f>
        <v/>
      </c>
    </row>
    <row r="3897">
      <c r="F3897">
        <f>F3896+1</f>
        <v/>
      </c>
      <c r="G3897" s="92">
        <f>EXP($C$12+$C$8*_xlfn.NORM.S.INV(RAND()))</f>
        <v/>
      </c>
    </row>
    <row r="3898">
      <c r="F3898">
        <f>F3897+1</f>
        <v/>
      </c>
      <c r="G3898" s="92">
        <f>EXP($C$12+$C$8*_xlfn.NORM.S.INV(RAND()))</f>
        <v/>
      </c>
    </row>
    <row r="3899">
      <c r="F3899">
        <f>F3898+1</f>
        <v/>
      </c>
      <c r="G3899" s="92">
        <f>EXP($C$12+$C$8*_xlfn.NORM.S.INV(RAND()))</f>
        <v/>
      </c>
    </row>
    <row r="3900">
      <c r="F3900">
        <f>F3899+1</f>
        <v/>
      </c>
      <c r="G3900" s="92">
        <f>EXP($C$12+$C$8*_xlfn.NORM.S.INV(RAND()))</f>
        <v/>
      </c>
    </row>
    <row r="3901">
      <c r="F3901">
        <f>F3900+1</f>
        <v/>
      </c>
      <c r="G3901" s="92">
        <f>EXP($C$12+$C$8*_xlfn.NORM.S.INV(RAND()))</f>
        <v/>
      </c>
    </row>
    <row r="3902">
      <c r="F3902">
        <f>F3901+1</f>
        <v/>
      </c>
      <c r="G3902" s="92">
        <f>EXP($C$12+$C$8*_xlfn.NORM.S.INV(RAND()))</f>
        <v/>
      </c>
    </row>
    <row r="3903">
      <c r="F3903">
        <f>F3902+1</f>
        <v/>
      </c>
      <c r="G3903" s="92">
        <f>EXP($C$12+$C$8*_xlfn.NORM.S.INV(RAND()))</f>
        <v/>
      </c>
    </row>
    <row r="3904">
      <c r="F3904">
        <f>F3903+1</f>
        <v/>
      </c>
      <c r="G3904" s="92">
        <f>EXP($C$12+$C$8*_xlfn.NORM.S.INV(RAND()))</f>
        <v/>
      </c>
    </row>
    <row r="3905">
      <c r="F3905">
        <f>F3904+1</f>
        <v/>
      </c>
      <c r="G3905" s="92">
        <f>EXP($C$12+$C$8*_xlfn.NORM.S.INV(RAND()))</f>
        <v/>
      </c>
    </row>
    <row r="3906">
      <c r="F3906">
        <f>F3905+1</f>
        <v/>
      </c>
      <c r="G3906" s="92">
        <f>EXP($C$12+$C$8*_xlfn.NORM.S.INV(RAND()))</f>
        <v/>
      </c>
    </row>
    <row r="3907">
      <c r="F3907">
        <f>F3906+1</f>
        <v/>
      </c>
      <c r="G3907" s="92">
        <f>EXP($C$12+$C$8*_xlfn.NORM.S.INV(RAND()))</f>
        <v/>
      </c>
    </row>
    <row r="3908">
      <c r="F3908">
        <f>F3907+1</f>
        <v/>
      </c>
      <c r="G3908" s="92">
        <f>EXP($C$12+$C$8*_xlfn.NORM.S.INV(RAND()))</f>
        <v/>
      </c>
    </row>
    <row r="3909">
      <c r="F3909">
        <f>F3908+1</f>
        <v/>
      </c>
      <c r="G3909" s="92">
        <f>EXP($C$12+$C$8*_xlfn.NORM.S.INV(RAND()))</f>
        <v/>
      </c>
    </row>
    <row r="3910">
      <c r="F3910">
        <f>F3909+1</f>
        <v/>
      </c>
      <c r="G3910" s="92">
        <f>EXP($C$12+$C$8*_xlfn.NORM.S.INV(RAND()))</f>
        <v/>
      </c>
    </row>
    <row r="3911">
      <c r="F3911">
        <f>F3910+1</f>
        <v/>
      </c>
      <c r="G3911" s="92">
        <f>EXP($C$12+$C$8*_xlfn.NORM.S.INV(RAND()))</f>
        <v/>
      </c>
    </row>
    <row r="3912">
      <c r="F3912">
        <f>F3911+1</f>
        <v/>
      </c>
      <c r="G3912" s="92">
        <f>EXP($C$12+$C$8*_xlfn.NORM.S.INV(RAND()))</f>
        <v/>
      </c>
    </row>
    <row r="3913">
      <c r="F3913">
        <f>F3912+1</f>
        <v/>
      </c>
      <c r="G3913" s="92">
        <f>EXP($C$12+$C$8*_xlfn.NORM.S.INV(RAND()))</f>
        <v/>
      </c>
    </row>
    <row r="3914">
      <c r="F3914">
        <f>F3913+1</f>
        <v/>
      </c>
      <c r="G3914" s="92">
        <f>EXP($C$12+$C$8*_xlfn.NORM.S.INV(RAND()))</f>
        <v/>
      </c>
    </row>
    <row r="3915">
      <c r="F3915">
        <f>F3914+1</f>
        <v/>
      </c>
      <c r="G3915" s="92">
        <f>EXP($C$12+$C$8*_xlfn.NORM.S.INV(RAND()))</f>
        <v/>
      </c>
    </row>
    <row r="3916">
      <c r="F3916">
        <f>F3915+1</f>
        <v/>
      </c>
      <c r="G3916" s="92">
        <f>EXP($C$12+$C$8*_xlfn.NORM.S.INV(RAND()))</f>
        <v/>
      </c>
    </row>
    <row r="3917">
      <c r="F3917">
        <f>F3916+1</f>
        <v/>
      </c>
      <c r="G3917" s="92">
        <f>EXP($C$12+$C$8*_xlfn.NORM.S.INV(RAND()))</f>
        <v/>
      </c>
    </row>
    <row r="3918">
      <c r="F3918">
        <f>F3917+1</f>
        <v/>
      </c>
      <c r="G3918" s="92">
        <f>EXP($C$12+$C$8*_xlfn.NORM.S.INV(RAND()))</f>
        <v/>
      </c>
    </row>
    <row r="3919">
      <c r="F3919">
        <f>F3918+1</f>
        <v/>
      </c>
      <c r="G3919" s="92">
        <f>EXP($C$12+$C$8*_xlfn.NORM.S.INV(RAND()))</f>
        <v/>
      </c>
    </row>
    <row r="3920">
      <c r="F3920">
        <f>F3919+1</f>
        <v/>
      </c>
      <c r="G3920" s="92">
        <f>EXP($C$12+$C$8*_xlfn.NORM.S.INV(RAND()))</f>
        <v/>
      </c>
    </row>
    <row r="3921">
      <c r="F3921">
        <f>F3920+1</f>
        <v/>
      </c>
      <c r="G3921" s="92">
        <f>EXP($C$12+$C$8*_xlfn.NORM.S.INV(RAND()))</f>
        <v/>
      </c>
    </row>
    <row r="3922">
      <c r="F3922">
        <f>F3921+1</f>
        <v/>
      </c>
      <c r="G3922" s="92">
        <f>EXP($C$12+$C$8*_xlfn.NORM.S.INV(RAND()))</f>
        <v/>
      </c>
    </row>
    <row r="3923">
      <c r="F3923">
        <f>F3922+1</f>
        <v/>
      </c>
      <c r="G3923" s="92">
        <f>EXP($C$12+$C$8*_xlfn.NORM.S.INV(RAND()))</f>
        <v/>
      </c>
    </row>
    <row r="3924">
      <c r="F3924">
        <f>F3923+1</f>
        <v/>
      </c>
      <c r="G3924" s="92">
        <f>EXP($C$12+$C$8*_xlfn.NORM.S.INV(RAND()))</f>
        <v/>
      </c>
    </row>
    <row r="3925">
      <c r="F3925">
        <f>F3924+1</f>
        <v/>
      </c>
      <c r="G3925" s="92">
        <f>EXP($C$12+$C$8*_xlfn.NORM.S.INV(RAND()))</f>
        <v/>
      </c>
    </row>
    <row r="3926">
      <c r="F3926">
        <f>F3925+1</f>
        <v/>
      </c>
      <c r="G3926" s="92">
        <f>EXP($C$12+$C$8*_xlfn.NORM.S.INV(RAND()))</f>
        <v/>
      </c>
    </row>
    <row r="3927">
      <c r="F3927">
        <f>F3926+1</f>
        <v/>
      </c>
      <c r="G3927" s="92">
        <f>EXP($C$12+$C$8*_xlfn.NORM.S.INV(RAND()))</f>
        <v/>
      </c>
    </row>
    <row r="3928">
      <c r="F3928">
        <f>F3927+1</f>
        <v/>
      </c>
      <c r="G3928" s="92">
        <f>EXP($C$12+$C$8*_xlfn.NORM.S.INV(RAND()))</f>
        <v/>
      </c>
    </row>
    <row r="3929">
      <c r="F3929">
        <f>F3928+1</f>
        <v/>
      </c>
      <c r="G3929" s="92">
        <f>EXP($C$12+$C$8*_xlfn.NORM.S.INV(RAND()))</f>
        <v/>
      </c>
    </row>
    <row r="3930">
      <c r="F3930">
        <f>F3929+1</f>
        <v/>
      </c>
      <c r="G3930" s="92">
        <f>EXP($C$12+$C$8*_xlfn.NORM.S.INV(RAND()))</f>
        <v/>
      </c>
    </row>
    <row r="3931">
      <c r="F3931">
        <f>F3930+1</f>
        <v/>
      </c>
      <c r="G3931" s="92">
        <f>EXP($C$12+$C$8*_xlfn.NORM.S.INV(RAND()))</f>
        <v/>
      </c>
    </row>
    <row r="3932">
      <c r="F3932">
        <f>F3931+1</f>
        <v/>
      </c>
      <c r="G3932" s="92">
        <f>EXP($C$12+$C$8*_xlfn.NORM.S.INV(RAND()))</f>
        <v/>
      </c>
    </row>
    <row r="3933">
      <c r="F3933">
        <f>F3932+1</f>
        <v/>
      </c>
      <c r="G3933" s="92">
        <f>EXP($C$12+$C$8*_xlfn.NORM.S.INV(RAND()))</f>
        <v/>
      </c>
    </row>
    <row r="3934">
      <c r="F3934">
        <f>F3933+1</f>
        <v/>
      </c>
      <c r="G3934" s="92">
        <f>EXP($C$12+$C$8*_xlfn.NORM.S.INV(RAND()))</f>
        <v/>
      </c>
    </row>
    <row r="3935">
      <c r="F3935">
        <f>F3934+1</f>
        <v/>
      </c>
      <c r="G3935" s="92">
        <f>EXP($C$12+$C$8*_xlfn.NORM.S.INV(RAND()))</f>
        <v/>
      </c>
    </row>
    <row r="3936">
      <c r="F3936">
        <f>F3935+1</f>
        <v/>
      </c>
      <c r="G3936" s="92">
        <f>EXP($C$12+$C$8*_xlfn.NORM.S.INV(RAND()))</f>
        <v/>
      </c>
    </row>
    <row r="3937">
      <c r="F3937">
        <f>F3936+1</f>
        <v/>
      </c>
      <c r="G3937" s="92">
        <f>EXP($C$12+$C$8*_xlfn.NORM.S.INV(RAND()))</f>
        <v/>
      </c>
    </row>
    <row r="3938">
      <c r="F3938">
        <f>F3937+1</f>
        <v/>
      </c>
      <c r="G3938" s="92">
        <f>EXP($C$12+$C$8*_xlfn.NORM.S.INV(RAND()))</f>
        <v/>
      </c>
    </row>
    <row r="3939">
      <c r="F3939">
        <f>F3938+1</f>
        <v/>
      </c>
      <c r="G3939" s="92">
        <f>EXP($C$12+$C$8*_xlfn.NORM.S.INV(RAND()))</f>
        <v/>
      </c>
    </row>
    <row r="3940">
      <c r="F3940">
        <f>F3939+1</f>
        <v/>
      </c>
      <c r="G3940" s="92">
        <f>EXP($C$12+$C$8*_xlfn.NORM.S.INV(RAND()))</f>
        <v/>
      </c>
    </row>
    <row r="3941">
      <c r="F3941">
        <f>F3940+1</f>
        <v/>
      </c>
      <c r="G3941" s="92">
        <f>EXP($C$12+$C$8*_xlfn.NORM.S.INV(RAND()))</f>
        <v/>
      </c>
    </row>
    <row r="3942">
      <c r="F3942">
        <f>F3941+1</f>
        <v/>
      </c>
      <c r="G3942" s="92">
        <f>EXP($C$12+$C$8*_xlfn.NORM.S.INV(RAND()))</f>
        <v/>
      </c>
    </row>
    <row r="3943">
      <c r="F3943">
        <f>F3942+1</f>
        <v/>
      </c>
      <c r="G3943" s="92">
        <f>EXP($C$12+$C$8*_xlfn.NORM.S.INV(RAND()))</f>
        <v/>
      </c>
    </row>
    <row r="3944">
      <c r="F3944">
        <f>F3943+1</f>
        <v/>
      </c>
      <c r="G3944" s="92">
        <f>EXP($C$12+$C$8*_xlfn.NORM.S.INV(RAND()))</f>
        <v/>
      </c>
    </row>
    <row r="3945">
      <c r="F3945">
        <f>F3944+1</f>
        <v/>
      </c>
      <c r="G3945" s="92">
        <f>EXP($C$12+$C$8*_xlfn.NORM.S.INV(RAND()))</f>
        <v/>
      </c>
    </row>
    <row r="3946">
      <c r="F3946">
        <f>F3945+1</f>
        <v/>
      </c>
      <c r="G3946" s="92">
        <f>EXP($C$12+$C$8*_xlfn.NORM.S.INV(RAND()))</f>
        <v/>
      </c>
    </row>
    <row r="3947">
      <c r="F3947">
        <f>F3946+1</f>
        <v/>
      </c>
      <c r="G3947" s="92">
        <f>EXP($C$12+$C$8*_xlfn.NORM.S.INV(RAND()))</f>
        <v/>
      </c>
    </row>
    <row r="3948">
      <c r="F3948">
        <f>F3947+1</f>
        <v/>
      </c>
      <c r="G3948" s="92">
        <f>EXP($C$12+$C$8*_xlfn.NORM.S.INV(RAND()))</f>
        <v/>
      </c>
    </row>
    <row r="3949">
      <c r="F3949">
        <f>F3948+1</f>
        <v/>
      </c>
      <c r="G3949" s="92">
        <f>EXP($C$12+$C$8*_xlfn.NORM.S.INV(RAND()))</f>
        <v/>
      </c>
    </row>
    <row r="3950">
      <c r="F3950">
        <f>F3949+1</f>
        <v/>
      </c>
      <c r="G3950" s="92">
        <f>EXP($C$12+$C$8*_xlfn.NORM.S.INV(RAND()))</f>
        <v/>
      </c>
    </row>
    <row r="3951">
      <c r="F3951">
        <f>F3950+1</f>
        <v/>
      </c>
      <c r="G3951" s="92">
        <f>EXP($C$12+$C$8*_xlfn.NORM.S.INV(RAND()))</f>
        <v/>
      </c>
    </row>
    <row r="3952">
      <c r="F3952">
        <f>F3951+1</f>
        <v/>
      </c>
      <c r="G3952" s="92">
        <f>EXP($C$12+$C$8*_xlfn.NORM.S.INV(RAND()))</f>
        <v/>
      </c>
    </row>
    <row r="3953">
      <c r="F3953">
        <f>F3952+1</f>
        <v/>
      </c>
      <c r="G3953" s="92">
        <f>EXP($C$12+$C$8*_xlfn.NORM.S.INV(RAND()))</f>
        <v/>
      </c>
    </row>
    <row r="3954">
      <c r="F3954">
        <f>F3953+1</f>
        <v/>
      </c>
      <c r="G3954" s="92">
        <f>EXP($C$12+$C$8*_xlfn.NORM.S.INV(RAND()))</f>
        <v/>
      </c>
    </row>
    <row r="3955">
      <c r="F3955">
        <f>F3954+1</f>
        <v/>
      </c>
      <c r="G3955" s="92">
        <f>EXP($C$12+$C$8*_xlfn.NORM.S.INV(RAND()))</f>
        <v/>
      </c>
    </row>
    <row r="3956">
      <c r="F3956">
        <f>F3955+1</f>
        <v/>
      </c>
      <c r="G3956" s="92">
        <f>EXP($C$12+$C$8*_xlfn.NORM.S.INV(RAND()))</f>
        <v/>
      </c>
    </row>
    <row r="3957">
      <c r="F3957">
        <f>F3956+1</f>
        <v/>
      </c>
      <c r="G3957" s="92">
        <f>EXP($C$12+$C$8*_xlfn.NORM.S.INV(RAND()))</f>
        <v/>
      </c>
    </row>
    <row r="3958">
      <c r="F3958">
        <f>F3957+1</f>
        <v/>
      </c>
      <c r="G3958" s="92">
        <f>EXP($C$12+$C$8*_xlfn.NORM.S.INV(RAND()))</f>
        <v/>
      </c>
    </row>
    <row r="3959">
      <c r="F3959">
        <f>F3958+1</f>
        <v/>
      </c>
      <c r="G3959" s="92">
        <f>EXP($C$12+$C$8*_xlfn.NORM.S.INV(RAND()))</f>
        <v/>
      </c>
    </row>
    <row r="3960">
      <c r="F3960">
        <f>F3959+1</f>
        <v/>
      </c>
      <c r="G3960" s="92">
        <f>EXP($C$12+$C$8*_xlfn.NORM.S.INV(RAND()))</f>
        <v/>
      </c>
    </row>
    <row r="3961">
      <c r="F3961">
        <f>F3960+1</f>
        <v/>
      </c>
      <c r="G3961" s="92">
        <f>EXP($C$12+$C$8*_xlfn.NORM.S.INV(RAND()))</f>
        <v/>
      </c>
    </row>
    <row r="3962">
      <c r="F3962">
        <f>F3961+1</f>
        <v/>
      </c>
      <c r="G3962" s="92">
        <f>EXP($C$12+$C$8*_xlfn.NORM.S.INV(RAND()))</f>
        <v/>
      </c>
    </row>
    <row r="3963">
      <c r="F3963">
        <f>F3962+1</f>
        <v/>
      </c>
      <c r="G3963" s="92">
        <f>EXP($C$12+$C$8*_xlfn.NORM.S.INV(RAND()))</f>
        <v/>
      </c>
    </row>
    <row r="3964">
      <c r="F3964">
        <f>F3963+1</f>
        <v/>
      </c>
      <c r="G3964" s="92">
        <f>EXP($C$12+$C$8*_xlfn.NORM.S.INV(RAND()))</f>
        <v/>
      </c>
    </row>
    <row r="3965">
      <c r="F3965">
        <f>F3964+1</f>
        <v/>
      </c>
      <c r="G3965" s="92">
        <f>EXP($C$12+$C$8*_xlfn.NORM.S.INV(RAND()))</f>
        <v/>
      </c>
    </row>
    <row r="3966">
      <c r="F3966">
        <f>F3965+1</f>
        <v/>
      </c>
      <c r="G3966" s="92">
        <f>EXP($C$12+$C$8*_xlfn.NORM.S.INV(RAND()))</f>
        <v/>
      </c>
    </row>
    <row r="3967">
      <c r="F3967">
        <f>F3966+1</f>
        <v/>
      </c>
      <c r="G3967" s="92">
        <f>EXP($C$12+$C$8*_xlfn.NORM.S.INV(RAND()))</f>
        <v/>
      </c>
    </row>
    <row r="3968">
      <c r="F3968">
        <f>F3967+1</f>
        <v/>
      </c>
      <c r="G3968" s="92">
        <f>EXP($C$12+$C$8*_xlfn.NORM.S.INV(RAND()))</f>
        <v/>
      </c>
    </row>
    <row r="3969">
      <c r="F3969">
        <f>F3968+1</f>
        <v/>
      </c>
      <c r="G3969" s="92">
        <f>EXP($C$12+$C$8*_xlfn.NORM.S.INV(RAND()))</f>
        <v/>
      </c>
    </row>
    <row r="3970">
      <c r="F3970">
        <f>F3969+1</f>
        <v/>
      </c>
      <c r="G3970" s="92">
        <f>EXP($C$12+$C$8*_xlfn.NORM.S.INV(RAND()))</f>
        <v/>
      </c>
    </row>
    <row r="3971">
      <c r="F3971">
        <f>F3970+1</f>
        <v/>
      </c>
      <c r="G3971" s="92">
        <f>EXP($C$12+$C$8*_xlfn.NORM.S.INV(RAND()))</f>
        <v/>
      </c>
    </row>
    <row r="3972">
      <c r="F3972">
        <f>F3971+1</f>
        <v/>
      </c>
      <c r="G3972" s="92">
        <f>EXP($C$12+$C$8*_xlfn.NORM.S.INV(RAND()))</f>
        <v/>
      </c>
    </row>
    <row r="3973">
      <c r="F3973">
        <f>F3972+1</f>
        <v/>
      </c>
      <c r="G3973" s="92">
        <f>EXP($C$12+$C$8*_xlfn.NORM.S.INV(RAND()))</f>
        <v/>
      </c>
    </row>
    <row r="3974">
      <c r="F3974">
        <f>F3973+1</f>
        <v/>
      </c>
      <c r="G3974" s="92">
        <f>EXP($C$12+$C$8*_xlfn.NORM.S.INV(RAND()))</f>
        <v/>
      </c>
    </row>
    <row r="3975">
      <c r="F3975">
        <f>F3974+1</f>
        <v/>
      </c>
      <c r="G3975" s="92">
        <f>EXP($C$12+$C$8*_xlfn.NORM.S.INV(RAND()))</f>
        <v/>
      </c>
    </row>
    <row r="3976">
      <c r="F3976">
        <f>F3975+1</f>
        <v/>
      </c>
      <c r="G3976" s="92">
        <f>EXP($C$12+$C$8*_xlfn.NORM.S.INV(RAND()))</f>
        <v/>
      </c>
    </row>
    <row r="3977">
      <c r="F3977">
        <f>F3976+1</f>
        <v/>
      </c>
      <c r="G3977" s="92">
        <f>EXP($C$12+$C$8*_xlfn.NORM.S.INV(RAND()))</f>
        <v/>
      </c>
    </row>
    <row r="3978">
      <c r="F3978">
        <f>F3977+1</f>
        <v/>
      </c>
      <c r="G3978" s="92">
        <f>EXP($C$12+$C$8*_xlfn.NORM.S.INV(RAND()))</f>
        <v/>
      </c>
    </row>
    <row r="3979">
      <c r="F3979">
        <f>F3978+1</f>
        <v/>
      </c>
      <c r="G3979" s="92">
        <f>EXP($C$12+$C$8*_xlfn.NORM.S.INV(RAND()))</f>
        <v/>
      </c>
    </row>
    <row r="3980">
      <c r="F3980">
        <f>F3979+1</f>
        <v/>
      </c>
      <c r="G3980" s="92">
        <f>EXP($C$12+$C$8*_xlfn.NORM.S.INV(RAND()))</f>
        <v/>
      </c>
    </row>
    <row r="3981">
      <c r="F3981">
        <f>F3980+1</f>
        <v/>
      </c>
      <c r="G3981" s="92">
        <f>EXP($C$12+$C$8*_xlfn.NORM.S.INV(RAND()))</f>
        <v/>
      </c>
    </row>
    <row r="3982">
      <c r="F3982">
        <f>F3981+1</f>
        <v/>
      </c>
      <c r="G3982" s="92">
        <f>EXP($C$12+$C$8*_xlfn.NORM.S.INV(RAND()))</f>
        <v/>
      </c>
    </row>
    <row r="3983">
      <c r="F3983">
        <f>F3982+1</f>
        <v/>
      </c>
      <c r="G3983" s="92">
        <f>EXP($C$12+$C$8*_xlfn.NORM.S.INV(RAND()))</f>
        <v/>
      </c>
    </row>
    <row r="3984">
      <c r="F3984">
        <f>F3983+1</f>
        <v/>
      </c>
      <c r="G3984" s="92">
        <f>EXP($C$12+$C$8*_xlfn.NORM.S.INV(RAND()))</f>
        <v/>
      </c>
    </row>
    <row r="3985">
      <c r="F3985">
        <f>F3984+1</f>
        <v/>
      </c>
      <c r="G3985" s="92">
        <f>EXP($C$12+$C$8*_xlfn.NORM.S.INV(RAND()))</f>
        <v/>
      </c>
    </row>
    <row r="3986">
      <c r="F3986">
        <f>F3985+1</f>
        <v/>
      </c>
      <c r="G3986" s="92">
        <f>EXP($C$12+$C$8*_xlfn.NORM.S.INV(RAND()))</f>
        <v/>
      </c>
    </row>
    <row r="3987">
      <c r="F3987">
        <f>F3986+1</f>
        <v/>
      </c>
      <c r="G3987" s="92">
        <f>EXP($C$12+$C$8*_xlfn.NORM.S.INV(RAND()))</f>
        <v/>
      </c>
    </row>
    <row r="3988">
      <c r="F3988">
        <f>F3987+1</f>
        <v/>
      </c>
      <c r="G3988" s="92">
        <f>EXP($C$12+$C$8*_xlfn.NORM.S.INV(RAND()))</f>
        <v/>
      </c>
    </row>
    <row r="3989">
      <c r="F3989">
        <f>F3988+1</f>
        <v/>
      </c>
      <c r="G3989" s="92">
        <f>EXP($C$12+$C$8*_xlfn.NORM.S.INV(RAND()))</f>
        <v/>
      </c>
    </row>
    <row r="3990">
      <c r="F3990">
        <f>F3989+1</f>
        <v/>
      </c>
      <c r="G3990" s="92">
        <f>EXP($C$12+$C$8*_xlfn.NORM.S.INV(RAND()))</f>
        <v/>
      </c>
    </row>
    <row r="3991">
      <c r="F3991">
        <f>F3990+1</f>
        <v/>
      </c>
      <c r="G3991" s="92">
        <f>EXP($C$12+$C$8*_xlfn.NORM.S.INV(RAND()))</f>
        <v/>
      </c>
    </row>
    <row r="3992">
      <c r="F3992">
        <f>F3991+1</f>
        <v/>
      </c>
      <c r="G3992" s="92">
        <f>EXP($C$12+$C$8*_xlfn.NORM.S.INV(RAND()))</f>
        <v/>
      </c>
    </row>
    <row r="3993">
      <c r="F3993">
        <f>F3992+1</f>
        <v/>
      </c>
      <c r="G3993" s="92">
        <f>EXP($C$12+$C$8*_xlfn.NORM.S.INV(RAND()))</f>
        <v/>
      </c>
    </row>
    <row r="3994">
      <c r="F3994">
        <f>F3993+1</f>
        <v/>
      </c>
      <c r="G3994" s="92">
        <f>EXP($C$12+$C$8*_xlfn.NORM.S.INV(RAND()))</f>
        <v/>
      </c>
    </row>
    <row r="3995">
      <c r="F3995">
        <f>F3994+1</f>
        <v/>
      </c>
      <c r="G3995" s="92">
        <f>EXP($C$12+$C$8*_xlfn.NORM.S.INV(RAND()))</f>
        <v/>
      </c>
    </row>
    <row r="3996">
      <c r="F3996">
        <f>F3995+1</f>
        <v/>
      </c>
      <c r="G3996" s="92">
        <f>EXP($C$12+$C$8*_xlfn.NORM.S.INV(RAND()))</f>
        <v/>
      </c>
    </row>
    <row r="3997">
      <c r="F3997">
        <f>F3996+1</f>
        <v/>
      </c>
      <c r="G3997" s="92">
        <f>EXP($C$12+$C$8*_xlfn.NORM.S.INV(RAND()))</f>
        <v/>
      </c>
    </row>
    <row r="3998">
      <c r="F3998">
        <f>F3997+1</f>
        <v/>
      </c>
      <c r="G3998" s="92">
        <f>EXP($C$12+$C$8*_xlfn.NORM.S.INV(RAND()))</f>
        <v/>
      </c>
    </row>
    <row r="3999">
      <c r="F3999">
        <f>F3998+1</f>
        <v/>
      </c>
      <c r="G3999" s="92">
        <f>EXP($C$12+$C$8*_xlfn.NORM.S.INV(RAND()))</f>
        <v/>
      </c>
    </row>
    <row r="4000">
      <c r="F4000">
        <f>F3999+1</f>
        <v/>
      </c>
      <c r="G4000" s="92">
        <f>EXP($C$12+$C$8*_xlfn.NORM.S.INV(RAND()))</f>
        <v/>
      </c>
    </row>
    <row r="4001">
      <c r="F4001">
        <f>F4000+1</f>
        <v/>
      </c>
      <c r="G4001" s="92">
        <f>EXP($C$12+$C$8*_xlfn.NORM.S.INV(RAND()))</f>
        <v/>
      </c>
    </row>
    <row r="4002">
      <c r="F4002">
        <f>F4001+1</f>
        <v/>
      </c>
      <c r="G4002" s="92">
        <f>EXP($C$12+$C$8*_xlfn.NORM.S.INV(RAND()))</f>
        <v/>
      </c>
    </row>
    <row r="4003">
      <c r="F4003">
        <f>F4002+1</f>
        <v/>
      </c>
      <c r="G4003" s="92">
        <f>EXP($C$12+$C$8*_xlfn.NORM.S.INV(RAND()))</f>
        <v/>
      </c>
    </row>
    <row r="4004">
      <c r="F4004">
        <f>F4003+1</f>
        <v/>
      </c>
      <c r="G4004" s="92">
        <f>EXP($C$12+$C$8*_xlfn.NORM.S.INV(RAND()))</f>
        <v/>
      </c>
    </row>
    <row r="4005">
      <c r="F4005">
        <f>F4004+1</f>
        <v/>
      </c>
      <c r="G4005" s="92">
        <f>EXP($C$12+$C$8*_xlfn.NORM.S.INV(RAND()))</f>
        <v/>
      </c>
    </row>
    <row r="4006">
      <c r="F4006">
        <f>F4005+1</f>
        <v/>
      </c>
      <c r="G4006" s="92">
        <f>EXP($C$12+$C$8*_xlfn.NORM.S.INV(RAND()))</f>
        <v/>
      </c>
    </row>
    <row r="4007">
      <c r="F4007">
        <f>F4006+1</f>
        <v/>
      </c>
      <c r="G4007" s="92">
        <f>EXP($C$12+$C$8*_xlfn.NORM.S.INV(RAND()))</f>
        <v/>
      </c>
    </row>
    <row r="4008">
      <c r="F4008">
        <f>F4007+1</f>
        <v/>
      </c>
      <c r="G4008" s="92">
        <f>EXP($C$12+$C$8*_xlfn.NORM.S.INV(RAND()))</f>
        <v/>
      </c>
    </row>
    <row r="4009">
      <c r="F4009">
        <f>F4008+1</f>
        <v/>
      </c>
      <c r="G4009" s="92">
        <f>EXP($C$12+$C$8*_xlfn.NORM.S.INV(RAND()))</f>
        <v/>
      </c>
    </row>
    <row r="4010">
      <c r="F4010">
        <f>F4009+1</f>
        <v/>
      </c>
      <c r="G4010" s="92">
        <f>EXP($C$12+$C$8*_xlfn.NORM.S.INV(RAND()))</f>
        <v/>
      </c>
    </row>
    <row r="4011">
      <c r="F4011">
        <f>F4010+1</f>
        <v/>
      </c>
      <c r="G4011" s="92">
        <f>EXP($C$12+$C$8*_xlfn.NORM.S.INV(RAND()))</f>
        <v/>
      </c>
    </row>
    <row r="4012">
      <c r="F4012">
        <f>F4011+1</f>
        <v/>
      </c>
      <c r="G4012" s="92">
        <f>EXP($C$12+$C$8*_xlfn.NORM.S.INV(RAND()))</f>
        <v/>
      </c>
    </row>
    <row r="4013">
      <c r="F4013">
        <f>F4012+1</f>
        <v/>
      </c>
      <c r="G4013" s="92">
        <f>EXP($C$12+$C$8*_xlfn.NORM.S.INV(RAND()))</f>
        <v/>
      </c>
    </row>
    <row r="4014">
      <c r="F4014">
        <f>F4013+1</f>
        <v/>
      </c>
      <c r="G4014" s="92">
        <f>EXP($C$12+$C$8*_xlfn.NORM.S.INV(RAND()))</f>
        <v/>
      </c>
    </row>
    <row r="4015">
      <c r="F4015">
        <f>F4014+1</f>
        <v/>
      </c>
      <c r="G4015" s="92">
        <f>EXP($C$12+$C$8*_xlfn.NORM.S.INV(RAND()))</f>
        <v/>
      </c>
    </row>
    <row r="4016">
      <c r="F4016">
        <f>F4015+1</f>
        <v/>
      </c>
      <c r="G4016" s="92">
        <f>EXP($C$12+$C$8*_xlfn.NORM.S.INV(RAND()))</f>
        <v/>
      </c>
    </row>
    <row r="4017">
      <c r="F4017">
        <f>F4016+1</f>
        <v/>
      </c>
      <c r="G4017" s="92">
        <f>EXP($C$12+$C$8*_xlfn.NORM.S.INV(RAND()))</f>
        <v/>
      </c>
    </row>
    <row r="4018">
      <c r="F4018">
        <f>F4017+1</f>
        <v/>
      </c>
      <c r="G4018" s="92">
        <f>EXP($C$12+$C$8*_xlfn.NORM.S.INV(RAND()))</f>
        <v/>
      </c>
    </row>
    <row r="4019">
      <c r="F4019">
        <f>F4018+1</f>
        <v/>
      </c>
      <c r="G4019" s="92">
        <f>EXP($C$12+$C$8*_xlfn.NORM.S.INV(RAND()))</f>
        <v/>
      </c>
    </row>
    <row r="4020">
      <c r="F4020">
        <f>F4019+1</f>
        <v/>
      </c>
      <c r="G4020" s="92">
        <f>EXP($C$12+$C$8*_xlfn.NORM.S.INV(RAND()))</f>
        <v/>
      </c>
    </row>
    <row r="4021">
      <c r="F4021">
        <f>F4020+1</f>
        <v/>
      </c>
      <c r="G4021" s="92">
        <f>EXP($C$12+$C$8*_xlfn.NORM.S.INV(RAND()))</f>
        <v/>
      </c>
    </row>
    <row r="4022">
      <c r="F4022">
        <f>F4021+1</f>
        <v/>
      </c>
      <c r="G4022" s="92">
        <f>EXP($C$12+$C$8*_xlfn.NORM.S.INV(RAND()))</f>
        <v/>
      </c>
    </row>
    <row r="4023">
      <c r="F4023">
        <f>F4022+1</f>
        <v/>
      </c>
      <c r="G4023" s="92">
        <f>EXP($C$12+$C$8*_xlfn.NORM.S.INV(RAND()))</f>
        <v/>
      </c>
    </row>
    <row r="4024">
      <c r="F4024">
        <f>F4023+1</f>
        <v/>
      </c>
      <c r="G4024" s="92">
        <f>EXP($C$12+$C$8*_xlfn.NORM.S.INV(RAND()))</f>
        <v/>
      </c>
    </row>
    <row r="4025">
      <c r="F4025">
        <f>F4024+1</f>
        <v/>
      </c>
      <c r="G4025" s="92">
        <f>EXP($C$12+$C$8*_xlfn.NORM.S.INV(RAND()))</f>
        <v/>
      </c>
    </row>
    <row r="4026">
      <c r="F4026">
        <f>F4025+1</f>
        <v/>
      </c>
      <c r="G4026" s="92">
        <f>EXP($C$12+$C$8*_xlfn.NORM.S.INV(RAND()))</f>
        <v/>
      </c>
    </row>
    <row r="4027">
      <c r="F4027">
        <f>F4026+1</f>
        <v/>
      </c>
      <c r="G4027" s="92">
        <f>EXP($C$12+$C$8*_xlfn.NORM.S.INV(RAND()))</f>
        <v/>
      </c>
    </row>
    <row r="4028">
      <c r="F4028">
        <f>F4027+1</f>
        <v/>
      </c>
      <c r="G4028" s="92">
        <f>EXP($C$12+$C$8*_xlfn.NORM.S.INV(RAND()))</f>
        <v/>
      </c>
    </row>
    <row r="4029">
      <c r="F4029">
        <f>F4028+1</f>
        <v/>
      </c>
      <c r="G4029" s="92">
        <f>EXP($C$12+$C$8*_xlfn.NORM.S.INV(RAND()))</f>
        <v/>
      </c>
    </row>
    <row r="4030">
      <c r="F4030">
        <f>F4029+1</f>
        <v/>
      </c>
      <c r="G4030" s="92">
        <f>EXP($C$12+$C$8*_xlfn.NORM.S.INV(RAND()))</f>
        <v/>
      </c>
    </row>
    <row r="4031">
      <c r="F4031">
        <f>F4030+1</f>
        <v/>
      </c>
      <c r="G4031" s="92">
        <f>EXP($C$12+$C$8*_xlfn.NORM.S.INV(RAND()))</f>
        <v/>
      </c>
    </row>
    <row r="4032">
      <c r="F4032">
        <f>F4031+1</f>
        <v/>
      </c>
      <c r="G4032" s="92">
        <f>EXP($C$12+$C$8*_xlfn.NORM.S.INV(RAND()))</f>
        <v/>
      </c>
    </row>
    <row r="4033">
      <c r="F4033">
        <f>F4032+1</f>
        <v/>
      </c>
      <c r="G4033" s="92">
        <f>EXP($C$12+$C$8*_xlfn.NORM.S.INV(RAND()))</f>
        <v/>
      </c>
    </row>
    <row r="4034">
      <c r="F4034">
        <f>F4033+1</f>
        <v/>
      </c>
      <c r="G4034" s="92">
        <f>EXP($C$12+$C$8*_xlfn.NORM.S.INV(RAND()))</f>
        <v/>
      </c>
    </row>
    <row r="4035">
      <c r="F4035">
        <f>F4034+1</f>
        <v/>
      </c>
      <c r="G4035" s="92">
        <f>EXP($C$12+$C$8*_xlfn.NORM.S.INV(RAND()))</f>
        <v/>
      </c>
    </row>
    <row r="4036">
      <c r="F4036">
        <f>F4035+1</f>
        <v/>
      </c>
      <c r="G4036" s="92">
        <f>EXP($C$12+$C$8*_xlfn.NORM.S.INV(RAND()))</f>
        <v/>
      </c>
    </row>
    <row r="4037">
      <c r="F4037">
        <f>F4036+1</f>
        <v/>
      </c>
      <c r="G4037" s="92">
        <f>EXP($C$12+$C$8*_xlfn.NORM.S.INV(RAND()))</f>
        <v/>
      </c>
    </row>
    <row r="4038">
      <c r="F4038">
        <f>F4037+1</f>
        <v/>
      </c>
      <c r="G4038" s="92">
        <f>EXP($C$12+$C$8*_xlfn.NORM.S.INV(RAND()))</f>
        <v/>
      </c>
    </row>
    <row r="4039">
      <c r="F4039">
        <f>F4038+1</f>
        <v/>
      </c>
      <c r="G4039" s="92">
        <f>EXP($C$12+$C$8*_xlfn.NORM.S.INV(RAND()))</f>
        <v/>
      </c>
    </row>
    <row r="4040">
      <c r="F4040">
        <f>F4039+1</f>
        <v/>
      </c>
      <c r="G4040" s="92">
        <f>EXP($C$12+$C$8*_xlfn.NORM.S.INV(RAND()))</f>
        <v/>
      </c>
    </row>
    <row r="4041">
      <c r="F4041">
        <f>F4040+1</f>
        <v/>
      </c>
      <c r="G4041" s="92">
        <f>EXP($C$12+$C$8*_xlfn.NORM.S.INV(RAND()))</f>
        <v/>
      </c>
    </row>
    <row r="4042">
      <c r="F4042">
        <f>F4041+1</f>
        <v/>
      </c>
      <c r="G4042" s="92">
        <f>EXP($C$12+$C$8*_xlfn.NORM.S.INV(RAND()))</f>
        <v/>
      </c>
    </row>
    <row r="4043">
      <c r="F4043">
        <f>F4042+1</f>
        <v/>
      </c>
      <c r="G4043" s="92">
        <f>EXP($C$12+$C$8*_xlfn.NORM.S.INV(RAND()))</f>
        <v/>
      </c>
    </row>
    <row r="4044">
      <c r="F4044">
        <f>F4043+1</f>
        <v/>
      </c>
      <c r="G4044" s="92">
        <f>EXP($C$12+$C$8*_xlfn.NORM.S.INV(RAND()))</f>
        <v/>
      </c>
    </row>
    <row r="4045">
      <c r="F4045">
        <f>F4044+1</f>
        <v/>
      </c>
      <c r="G4045" s="92">
        <f>EXP($C$12+$C$8*_xlfn.NORM.S.INV(RAND()))</f>
        <v/>
      </c>
    </row>
    <row r="4046">
      <c r="F4046">
        <f>F4045+1</f>
        <v/>
      </c>
      <c r="G4046" s="92">
        <f>EXP($C$12+$C$8*_xlfn.NORM.S.INV(RAND()))</f>
        <v/>
      </c>
    </row>
    <row r="4047">
      <c r="F4047">
        <f>F4046+1</f>
        <v/>
      </c>
      <c r="G4047" s="92">
        <f>EXP($C$12+$C$8*_xlfn.NORM.S.INV(RAND()))</f>
        <v/>
      </c>
    </row>
    <row r="4048">
      <c r="F4048">
        <f>F4047+1</f>
        <v/>
      </c>
      <c r="G4048" s="92">
        <f>EXP($C$12+$C$8*_xlfn.NORM.S.INV(RAND()))</f>
        <v/>
      </c>
    </row>
    <row r="4049">
      <c r="F4049">
        <f>F4048+1</f>
        <v/>
      </c>
      <c r="G4049" s="92">
        <f>EXP($C$12+$C$8*_xlfn.NORM.S.INV(RAND()))</f>
        <v/>
      </c>
    </row>
    <row r="4050">
      <c r="F4050">
        <f>F4049+1</f>
        <v/>
      </c>
      <c r="G4050" s="92">
        <f>EXP($C$12+$C$8*_xlfn.NORM.S.INV(RAND()))</f>
        <v/>
      </c>
    </row>
    <row r="4051">
      <c r="F4051">
        <f>F4050+1</f>
        <v/>
      </c>
      <c r="G4051" s="92">
        <f>EXP($C$12+$C$8*_xlfn.NORM.S.INV(RAND()))</f>
        <v/>
      </c>
    </row>
    <row r="4052">
      <c r="F4052">
        <f>F4051+1</f>
        <v/>
      </c>
      <c r="G4052" s="92">
        <f>EXP($C$12+$C$8*_xlfn.NORM.S.INV(RAND()))</f>
        <v/>
      </c>
    </row>
    <row r="4053">
      <c r="F4053">
        <f>F4052+1</f>
        <v/>
      </c>
      <c r="G4053" s="92">
        <f>EXP($C$12+$C$8*_xlfn.NORM.S.INV(RAND()))</f>
        <v/>
      </c>
    </row>
    <row r="4054">
      <c r="F4054">
        <f>F4053+1</f>
        <v/>
      </c>
      <c r="G4054" s="92">
        <f>EXP($C$12+$C$8*_xlfn.NORM.S.INV(RAND()))</f>
        <v/>
      </c>
    </row>
    <row r="4055">
      <c r="F4055">
        <f>F4054+1</f>
        <v/>
      </c>
      <c r="G4055" s="92">
        <f>EXP($C$12+$C$8*_xlfn.NORM.S.INV(RAND()))</f>
        <v/>
      </c>
    </row>
    <row r="4056">
      <c r="F4056">
        <f>F4055+1</f>
        <v/>
      </c>
      <c r="G4056" s="92">
        <f>EXP($C$12+$C$8*_xlfn.NORM.S.INV(RAND()))</f>
        <v/>
      </c>
    </row>
    <row r="4057">
      <c r="F4057">
        <f>F4056+1</f>
        <v/>
      </c>
      <c r="G4057" s="92">
        <f>EXP($C$12+$C$8*_xlfn.NORM.S.INV(RAND()))</f>
        <v/>
      </c>
    </row>
    <row r="4058">
      <c r="F4058">
        <f>F4057+1</f>
        <v/>
      </c>
      <c r="G4058" s="92">
        <f>EXP($C$12+$C$8*_xlfn.NORM.S.INV(RAND()))</f>
        <v/>
      </c>
    </row>
    <row r="4059">
      <c r="F4059">
        <f>F4058+1</f>
        <v/>
      </c>
      <c r="G4059" s="92">
        <f>EXP($C$12+$C$8*_xlfn.NORM.S.INV(RAND()))</f>
        <v/>
      </c>
    </row>
    <row r="4060">
      <c r="F4060">
        <f>F4059+1</f>
        <v/>
      </c>
      <c r="G4060" s="92">
        <f>EXP($C$12+$C$8*_xlfn.NORM.S.INV(RAND()))</f>
        <v/>
      </c>
    </row>
    <row r="4061">
      <c r="F4061">
        <f>F4060+1</f>
        <v/>
      </c>
      <c r="G4061" s="92">
        <f>EXP($C$12+$C$8*_xlfn.NORM.S.INV(RAND()))</f>
        <v/>
      </c>
    </row>
    <row r="4062">
      <c r="F4062">
        <f>F4061+1</f>
        <v/>
      </c>
      <c r="G4062" s="92">
        <f>EXP($C$12+$C$8*_xlfn.NORM.S.INV(RAND()))</f>
        <v/>
      </c>
    </row>
    <row r="4063">
      <c r="F4063">
        <f>F4062+1</f>
        <v/>
      </c>
      <c r="G4063" s="92">
        <f>EXP($C$12+$C$8*_xlfn.NORM.S.INV(RAND()))</f>
        <v/>
      </c>
    </row>
    <row r="4064">
      <c r="F4064">
        <f>F4063+1</f>
        <v/>
      </c>
      <c r="G4064" s="92">
        <f>EXP($C$12+$C$8*_xlfn.NORM.S.INV(RAND()))</f>
        <v/>
      </c>
    </row>
    <row r="4065">
      <c r="F4065">
        <f>F4064+1</f>
        <v/>
      </c>
      <c r="G4065" s="92">
        <f>EXP($C$12+$C$8*_xlfn.NORM.S.INV(RAND()))</f>
        <v/>
      </c>
    </row>
    <row r="4066">
      <c r="F4066">
        <f>F4065+1</f>
        <v/>
      </c>
      <c r="G4066" s="92">
        <f>EXP($C$12+$C$8*_xlfn.NORM.S.INV(RAND()))</f>
        <v/>
      </c>
    </row>
    <row r="4067">
      <c r="F4067">
        <f>F4066+1</f>
        <v/>
      </c>
      <c r="G4067" s="92">
        <f>EXP($C$12+$C$8*_xlfn.NORM.S.INV(RAND()))</f>
        <v/>
      </c>
    </row>
    <row r="4068">
      <c r="F4068">
        <f>F4067+1</f>
        <v/>
      </c>
      <c r="G4068" s="92">
        <f>EXP($C$12+$C$8*_xlfn.NORM.S.INV(RAND()))</f>
        <v/>
      </c>
    </row>
    <row r="4069">
      <c r="F4069">
        <f>F4068+1</f>
        <v/>
      </c>
      <c r="G4069" s="92">
        <f>EXP($C$12+$C$8*_xlfn.NORM.S.INV(RAND()))</f>
        <v/>
      </c>
    </row>
    <row r="4070">
      <c r="F4070">
        <f>F4069+1</f>
        <v/>
      </c>
      <c r="G4070" s="92">
        <f>EXP($C$12+$C$8*_xlfn.NORM.S.INV(RAND()))</f>
        <v/>
      </c>
    </row>
    <row r="4071">
      <c r="F4071">
        <f>F4070+1</f>
        <v/>
      </c>
      <c r="G4071" s="92">
        <f>EXP($C$12+$C$8*_xlfn.NORM.S.INV(RAND()))</f>
        <v/>
      </c>
    </row>
    <row r="4072">
      <c r="F4072">
        <f>F4071+1</f>
        <v/>
      </c>
      <c r="G4072" s="92">
        <f>EXP($C$12+$C$8*_xlfn.NORM.S.INV(RAND()))</f>
        <v/>
      </c>
    </row>
    <row r="4073">
      <c r="F4073">
        <f>F4072+1</f>
        <v/>
      </c>
      <c r="G4073" s="92">
        <f>EXP($C$12+$C$8*_xlfn.NORM.S.INV(RAND()))</f>
        <v/>
      </c>
    </row>
    <row r="4074">
      <c r="F4074">
        <f>F4073+1</f>
        <v/>
      </c>
      <c r="G4074" s="92">
        <f>EXP($C$12+$C$8*_xlfn.NORM.S.INV(RAND()))</f>
        <v/>
      </c>
    </row>
    <row r="4075">
      <c r="F4075">
        <f>F4074+1</f>
        <v/>
      </c>
      <c r="G4075" s="92">
        <f>EXP($C$12+$C$8*_xlfn.NORM.S.INV(RAND()))</f>
        <v/>
      </c>
    </row>
    <row r="4076">
      <c r="F4076">
        <f>F4075+1</f>
        <v/>
      </c>
      <c r="G4076" s="92">
        <f>EXP($C$12+$C$8*_xlfn.NORM.S.INV(RAND()))</f>
        <v/>
      </c>
    </row>
    <row r="4077">
      <c r="F4077">
        <f>F4076+1</f>
        <v/>
      </c>
      <c r="G4077" s="92">
        <f>EXP($C$12+$C$8*_xlfn.NORM.S.INV(RAND()))</f>
        <v/>
      </c>
    </row>
    <row r="4078">
      <c r="F4078">
        <f>F4077+1</f>
        <v/>
      </c>
      <c r="G4078" s="92">
        <f>EXP($C$12+$C$8*_xlfn.NORM.S.INV(RAND()))</f>
        <v/>
      </c>
    </row>
    <row r="4079">
      <c r="F4079">
        <f>F4078+1</f>
        <v/>
      </c>
      <c r="G4079" s="92">
        <f>EXP($C$12+$C$8*_xlfn.NORM.S.INV(RAND()))</f>
        <v/>
      </c>
    </row>
    <row r="4080">
      <c r="F4080">
        <f>F4079+1</f>
        <v/>
      </c>
      <c r="G4080" s="92">
        <f>EXP($C$12+$C$8*_xlfn.NORM.S.INV(RAND()))</f>
        <v/>
      </c>
    </row>
    <row r="4081">
      <c r="F4081">
        <f>F4080+1</f>
        <v/>
      </c>
      <c r="G4081" s="92">
        <f>EXP($C$12+$C$8*_xlfn.NORM.S.INV(RAND()))</f>
        <v/>
      </c>
    </row>
    <row r="4082">
      <c r="F4082">
        <f>F4081+1</f>
        <v/>
      </c>
      <c r="G4082" s="92">
        <f>EXP($C$12+$C$8*_xlfn.NORM.S.INV(RAND()))</f>
        <v/>
      </c>
    </row>
    <row r="4083">
      <c r="F4083">
        <f>F4082+1</f>
        <v/>
      </c>
      <c r="G4083" s="92">
        <f>EXP($C$12+$C$8*_xlfn.NORM.S.INV(RAND()))</f>
        <v/>
      </c>
    </row>
    <row r="4084">
      <c r="F4084">
        <f>F4083+1</f>
        <v/>
      </c>
      <c r="G4084" s="92">
        <f>EXP($C$12+$C$8*_xlfn.NORM.S.INV(RAND()))</f>
        <v/>
      </c>
    </row>
    <row r="4085">
      <c r="F4085">
        <f>F4084+1</f>
        <v/>
      </c>
      <c r="G4085" s="92">
        <f>EXP($C$12+$C$8*_xlfn.NORM.S.INV(RAND()))</f>
        <v/>
      </c>
    </row>
    <row r="4086">
      <c r="F4086">
        <f>F4085+1</f>
        <v/>
      </c>
      <c r="G4086" s="92">
        <f>EXP($C$12+$C$8*_xlfn.NORM.S.INV(RAND()))</f>
        <v/>
      </c>
    </row>
    <row r="4087">
      <c r="F4087">
        <f>F4086+1</f>
        <v/>
      </c>
      <c r="G4087" s="92">
        <f>EXP($C$12+$C$8*_xlfn.NORM.S.INV(RAND()))</f>
        <v/>
      </c>
    </row>
    <row r="4088">
      <c r="F4088">
        <f>F4087+1</f>
        <v/>
      </c>
      <c r="G4088" s="92">
        <f>EXP($C$12+$C$8*_xlfn.NORM.S.INV(RAND()))</f>
        <v/>
      </c>
    </row>
    <row r="4089">
      <c r="F4089">
        <f>F4088+1</f>
        <v/>
      </c>
      <c r="G4089" s="92">
        <f>EXP($C$12+$C$8*_xlfn.NORM.S.INV(RAND()))</f>
        <v/>
      </c>
    </row>
    <row r="4090">
      <c r="F4090">
        <f>F4089+1</f>
        <v/>
      </c>
      <c r="G4090" s="92">
        <f>EXP($C$12+$C$8*_xlfn.NORM.S.INV(RAND()))</f>
        <v/>
      </c>
    </row>
    <row r="4091">
      <c r="F4091">
        <f>F4090+1</f>
        <v/>
      </c>
      <c r="G4091" s="92">
        <f>EXP($C$12+$C$8*_xlfn.NORM.S.INV(RAND()))</f>
        <v/>
      </c>
    </row>
    <row r="4092">
      <c r="F4092">
        <f>F4091+1</f>
        <v/>
      </c>
      <c r="G4092" s="92">
        <f>EXP($C$12+$C$8*_xlfn.NORM.S.INV(RAND()))</f>
        <v/>
      </c>
    </row>
    <row r="4093">
      <c r="F4093">
        <f>F4092+1</f>
        <v/>
      </c>
      <c r="G4093" s="92">
        <f>EXP($C$12+$C$8*_xlfn.NORM.S.INV(RAND()))</f>
        <v/>
      </c>
    </row>
    <row r="4094">
      <c r="F4094">
        <f>F4093+1</f>
        <v/>
      </c>
      <c r="G4094" s="92">
        <f>EXP($C$12+$C$8*_xlfn.NORM.S.INV(RAND()))</f>
        <v/>
      </c>
    </row>
    <row r="4095">
      <c r="F4095">
        <f>F4094+1</f>
        <v/>
      </c>
      <c r="G4095" s="92">
        <f>EXP($C$12+$C$8*_xlfn.NORM.S.INV(RAND()))</f>
        <v/>
      </c>
    </row>
    <row r="4096">
      <c r="F4096">
        <f>F4095+1</f>
        <v/>
      </c>
      <c r="G4096" s="92">
        <f>EXP($C$12+$C$8*_xlfn.NORM.S.INV(RAND()))</f>
        <v/>
      </c>
    </row>
    <row r="4097">
      <c r="F4097">
        <f>F4096+1</f>
        <v/>
      </c>
      <c r="G4097" s="92">
        <f>EXP($C$12+$C$8*_xlfn.NORM.S.INV(RAND()))</f>
        <v/>
      </c>
    </row>
    <row r="4098">
      <c r="F4098">
        <f>F4097+1</f>
        <v/>
      </c>
      <c r="G4098" s="92">
        <f>EXP($C$12+$C$8*_xlfn.NORM.S.INV(RAND()))</f>
        <v/>
      </c>
    </row>
    <row r="4099">
      <c r="F4099">
        <f>F4098+1</f>
        <v/>
      </c>
      <c r="G4099" s="92">
        <f>EXP($C$12+$C$8*_xlfn.NORM.S.INV(RAND()))</f>
        <v/>
      </c>
    </row>
    <row r="4100">
      <c r="F4100">
        <f>F4099+1</f>
        <v/>
      </c>
      <c r="G4100" s="92">
        <f>EXP($C$12+$C$8*_xlfn.NORM.S.INV(RAND()))</f>
        <v/>
      </c>
    </row>
    <row r="4101">
      <c r="F4101">
        <f>F4100+1</f>
        <v/>
      </c>
      <c r="G4101" s="92">
        <f>EXP($C$12+$C$8*_xlfn.NORM.S.INV(RAND()))</f>
        <v/>
      </c>
    </row>
    <row r="4102">
      <c r="F4102">
        <f>F4101+1</f>
        <v/>
      </c>
      <c r="G4102" s="92">
        <f>EXP($C$12+$C$8*_xlfn.NORM.S.INV(RAND()))</f>
        <v/>
      </c>
    </row>
    <row r="4103">
      <c r="F4103">
        <f>F4102+1</f>
        <v/>
      </c>
      <c r="G4103" s="92">
        <f>EXP($C$12+$C$8*_xlfn.NORM.S.INV(RAND()))</f>
        <v/>
      </c>
    </row>
    <row r="4104">
      <c r="F4104">
        <f>F4103+1</f>
        <v/>
      </c>
      <c r="G4104" s="92">
        <f>EXP($C$12+$C$8*_xlfn.NORM.S.INV(RAND()))</f>
        <v/>
      </c>
    </row>
    <row r="4105">
      <c r="F4105">
        <f>F4104+1</f>
        <v/>
      </c>
      <c r="G4105" s="92">
        <f>EXP($C$12+$C$8*_xlfn.NORM.S.INV(RAND()))</f>
        <v/>
      </c>
    </row>
    <row r="4106">
      <c r="F4106">
        <f>F4105+1</f>
        <v/>
      </c>
      <c r="G4106" s="92">
        <f>EXP($C$12+$C$8*_xlfn.NORM.S.INV(RAND()))</f>
        <v/>
      </c>
    </row>
    <row r="4107">
      <c r="F4107">
        <f>F4106+1</f>
        <v/>
      </c>
      <c r="G4107" s="92">
        <f>EXP($C$12+$C$8*_xlfn.NORM.S.INV(RAND()))</f>
        <v/>
      </c>
    </row>
    <row r="4108">
      <c r="F4108">
        <f>F4107+1</f>
        <v/>
      </c>
      <c r="G4108" s="92">
        <f>EXP($C$12+$C$8*_xlfn.NORM.S.INV(RAND()))</f>
        <v/>
      </c>
    </row>
    <row r="4109">
      <c r="F4109">
        <f>F4108+1</f>
        <v/>
      </c>
      <c r="G4109" s="92">
        <f>EXP($C$12+$C$8*_xlfn.NORM.S.INV(RAND()))</f>
        <v/>
      </c>
    </row>
    <row r="4110">
      <c r="F4110">
        <f>F4109+1</f>
        <v/>
      </c>
      <c r="G4110" s="92">
        <f>EXP($C$12+$C$8*_xlfn.NORM.S.INV(RAND()))</f>
        <v/>
      </c>
    </row>
    <row r="4111">
      <c r="F4111">
        <f>F4110+1</f>
        <v/>
      </c>
      <c r="G4111" s="92">
        <f>EXP($C$12+$C$8*_xlfn.NORM.S.INV(RAND()))</f>
        <v/>
      </c>
    </row>
    <row r="4112">
      <c r="F4112">
        <f>F4111+1</f>
        <v/>
      </c>
      <c r="G4112" s="92">
        <f>EXP($C$12+$C$8*_xlfn.NORM.S.INV(RAND()))</f>
        <v/>
      </c>
    </row>
    <row r="4113">
      <c r="F4113">
        <f>F4112+1</f>
        <v/>
      </c>
      <c r="G4113" s="92">
        <f>EXP($C$12+$C$8*_xlfn.NORM.S.INV(RAND()))</f>
        <v/>
      </c>
    </row>
    <row r="4114">
      <c r="F4114">
        <f>F4113+1</f>
        <v/>
      </c>
      <c r="G4114" s="92">
        <f>EXP($C$12+$C$8*_xlfn.NORM.S.INV(RAND()))</f>
        <v/>
      </c>
    </row>
    <row r="4115">
      <c r="F4115">
        <f>F4114+1</f>
        <v/>
      </c>
      <c r="G4115" s="92">
        <f>EXP($C$12+$C$8*_xlfn.NORM.S.INV(RAND()))</f>
        <v/>
      </c>
    </row>
    <row r="4116">
      <c r="F4116">
        <f>F4115+1</f>
        <v/>
      </c>
      <c r="G4116" s="92">
        <f>EXP($C$12+$C$8*_xlfn.NORM.S.INV(RAND()))</f>
        <v/>
      </c>
    </row>
    <row r="4117">
      <c r="F4117">
        <f>F4116+1</f>
        <v/>
      </c>
      <c r="G4117" s="92">
        <f>EXP($C$12+$C$8*_xlfn.NORM.S.INV(RAND()))</f>
        <v/>
      </c>
    </row>
    <row r="4118">
      <c r="F4118">
        <f>F4117+1</f>
        <v/>
      </c>
      <c r="G4118" s="92">
        <f>EXP($C$12+$C$8*_xlfn.NORM.S.INV(RAND()))</f>
        <v/>
      </c>
    </row>
    <row r="4119">
      <c r="F4119">
        <f>F4118+1</f>
        <v/>
      </c>
      <c r="G4119" s="92">
        <f>EXP($C$12+$C$8*_xlfn.NORM.S.INV(RAND()))</f>
        <v/>
      </c>
    </row>
    <row r="4120">
      <c r="F4120">
        <f>F4119+1</f>
        <v/>
      </c>
      <c r="G4120" s="92">
        <f>EXP($C$12+$C$8*_xlfn.NORM.S.INV(RAND()))</f>
        <v/>
      </c>
    </row>
    <row r="4121">
      <c r="F4121">
        <f>F4120+1</f>
        <v/>
      </c>
      <c r="G4121" s="92">
        <f>EXP($C$12+$C$8*_xlfn.NORM.S.INV(RAND()))</f>
        <v/>
      </c>
    </row>
    <row r="4122">
      <c r="F4122">
        <f>F4121+1</f>
        <v/>
      </c>
      <c r="G4122" s="92">
        <f>EXP($C$12+$C$8*_xlfn.NORM.S.INV(RAND()))</f>
        <v/>
      </c>
    </row>
    <row r="4123">
      <c r="F4123">
        <f>F4122+1</f>
        <v/>
      </c>
      <c r="G4123" s="92">
        <f>EXP($C$12+$C$8*_xlfn.NORM.S.INV(RAND()))</f>
        <v/>
      </c>
    </row>
    <row r="4124">
      <c r="F4124">
        <f>F4123+1</f>
        <v/>
      </c>
      <c r="G4124" s="92">
        <f>EXP($C$12+$C$8*_xlfn.NORM.S.INV(RAND()))</f>
        <v/>
      </c>
    </row>
    <row r="4125">
      <c r="F4125">
        <f>F4124+1</f>
        <v/>
      </c>
      <c r="G4125" s="92">
        <f>EXP($C$12+$C$8*_xlfn.NORM.S.INV(RAND()))</f>
        <v/>
      </c>
    </row>
    <row r="4126">
      <c r="F4126">
        <f>F4125+1</f>
        <v/>
      </c>
      <c r="G4126" s="92">
        <f>EXP($C$12+$C$8*_xlfn.NORM.S.INV(RAND()))</f>
        <v/>
      </c>
    </row>
    <row r="4127">
      <c r="F4127">
        <f>F4126+1</f>
        <v/>
      </c>
      <c r="G4127" s="92">
        <f>EXP($C$12+$C$8*_xlfn.NORM.S.INV(RAND()))</f>
        <v/>
      </c>
    </row>
    <row r="4128">
      <c r="F4128">
        <f>F4127+1</f>
        <v/>
      </c>
      <c r="G4128" s="92">
        <f>EXP($C$12+$C$8*_xlfn.NORM.S.INV(RAND()))</f>
        <v/>
      </c>
    </row>
    <row r="4129">
      <c r="F4129">
        <f>F4128+1</f>
        <v/>
      </c>
      <c r="G4129" s="92">
        <f>EXP($C$12+$C$8*_xlfn.NORM.S.INV(RAND()))</f>
        <v/>
      </c>
    </row>
    <row r="4130">
      <c r="F4130">
        <f>F4129+1</f>
        <v/>
      </c>
      <c r="G4130" s="92">
        <f>EXP($C$12+$C$8*_xlfn.NORM.S.INV(RAND()))</f>
        <v/>
      </c>
    </row>
    <row r="4131">
      <c r="F4131">
        <f>F4130+1</f>
        <v/>
      </c>
      <c r="G4131" s="92">
        <f>EXP($C$12+$C$8*_xlfn.NORM.S.INV(RAND()))</f>
        <v/>
      </c>
    </row>
    <row r="4132">
      <c r="F4132">
        <f>F4131+1</f>
        <v/>
      </c>
      <c r="G4132" s="92">
        <f>EXP($C$12+$C$8*_xlfn.NORM.S.INV(RAND()))</f>
        <v/>
      </c>
    </row>
    <row r="4133">
      <c r="F4133">
        <f>F4132+1</f>
        <v/>
      </c>
      <c r="G4133" s="92">
        <f>EXP($C$12+$C$8*_xlfn.NORM.S.INV(RAND()))</f>
        <v/>
      </c>
    </row>
    <row r="4134">
      <c r="F4134">
        <f>F4133+1</f>
        <v/>
      </c>
      <c r="G4134" s="92">
        <f>EXP($C$12+$C$8*_xlfn.NORM.S.INV(RAND()))</f>
        <v/>
      </c>
    </row>
    <row r="4135">
      <c r="F4135">
        <f>F4134+1</f>
        <v/>
      </c>
      <c r="G4135" s="92">
        <f>EXP($C$12+$C$8*_xlfn.NORM.S.INV(RAND()))</f>
        <v/>
      </c>
    </row>
    <row r="4136">
      <c r="F4136">
        <f>F4135+1</f>
        <v/>
      </c>
      <c r="G4136" s="92">
        <f>EXP($C$12+$C$8*_xlfn.NORM.S.INV(RAND()))</f>
        <v/>
      </c>
    </row>
    <row r="4137">
      <c r="F4137">
        <f>F4136+1</f>
        <v/>
      </c>
      <c r="G4137" s="92">
        <f>EXP($C$12+$C$8*_xlfn.NORM.S.INV(RAND()))</f>
        <v/>
      </c>
    </row>
    <row r="4138">
      <c r="F4138">
        <f>F4137+1</f>
        <v/>
      </c>
      <c r="G4138" s="92">
        <f>EXP($C$12+$C$8*_xlfn.NORM.S.INV(RAND()))</f>
        <v/>
      </c>
    </row>
    <row r="4139">
      <c r="F4139">
        <f>F4138+1</f>
        <v/>
      </c>
      <c r="G4139" s="92">
        <f>EXP($C$12+$C$8*_xlfn.NORM.S.INV(RAND()))</f>
        <v/>
      </c>
    </row>
    <row r="4140">
      <c r="F4140">
        <f>F4139+1</f>
        <v/>
      </c>
      <c r="G4140" s="92">
        <f>EXP($C$12+$C$8*_xlfn.NORM.S.INV(RAND()))</f>
        <v/>
      </c>
    </row>
    <row r="4141">
      <c r="F4141">
        <f>F4140+1</f>
        <v/>
      </c>
      <c r="G4141" s="92">
        <f>EXP($C$12+$C$8*_xlfn.NORM.S.INV(RAND()))</f>
        <v/>
      </c>
    </row>
    <row r="4142">
      <c r="F4142">
        <f>F4141+1</f>
        <v/>
      </c>
      <c r="G4142" s="92">
        <f>EXP($C$12+$C$8*_xlfn.NORM.S.INV(RAND()))</f>
        <v/>
      </c>
    </row>
    <row r="4143">
      <c r="F4143">
        <f>F4142+1</f>
        <v/>
      </c>
      <c r="G4143" s="92">
        <f>EXP($C$12+$C$8*_xlfn.NORM.S.INV(RAND()))</f>
        <v/>
      </c>
    </row>
    <row r="4144">
      <c r="F4144">
        <f>F4143+1</f>
        <v/>
      </c>
      <c r="G4144" s="92">
        <f>EXP($C$12+$C$8*_xlfn.NORM.S.INV(RAND()))</f>
        <v/>
      </c>
    </row>
    <row r="4145">
      <c r="F4145">
        <f>F4144+1</f>
        <v/>
      </c>
      <c r="G4145" s="92">
        <f>EXP($C$12+$C$8*_xlfn.NORM.S.INV(RAND()))</f>
        <v/>
      </c>
    </row>
    <row r="4146">
      <c r="F4146">
        <f>F4145+1</f>
        <v/>
      </c>
      <c r="G4146" s="92">
        <f>EXP($C$12+$C$8*_xlfn.NORM.S.INV(RAND()))</f>
        <v/>
      </c>
    </row>
    <row r="4147">
      <c r="F4147">
        <f>F4146+1</f>
        <v/>
      </c>
      <c r="G4147" s="92">
        <f>EXP($C$12+$C$8*_xlfn.NORM.S.INV(RAND()))</f>
        <v/>
      </c>
    </row>
    <row r="4148">
      <c r="F4148">
        <f>F4147+1</f>
        <v/>
      </c>
      <c r="G4148" s="92">
        <f>EXP($C$12+$C$8*_xlfn.NORM.S.INV(RAND()))</f>
        <v/>
      </c>
    </row>
    <row r="4149">
      <c r="F4149">
        <f>F4148+1</f>
        <v/>
      </c>
      <c r="G4149" s="92">
        <f>EXP($C$12+$C$8*_xlfn.NORM.S.INV(RAND()))</f>
        <v/>
      </c>
    </row>
    <row r="4150">
      <c r="F4150">
        <f>F4149+1</f>
        <v/>
      </c>
      <c r="G4150" s="92">
        <f>EXP($C$12+$C$8*_xlfn.NORM.S.INV(RAND()))</f>
        <v/>
      </c>
    </row>
    <row r="4151">
      <c r="F4151">
        <f>F4150+1</f>
        <v/>
      </c>
      <c r="G4151" s="92">
        <f>EXP($C$12+$C$8*_xlfn.NORM.S.INV(RAND()))</f>
        <v/>
      </c>
    </row>
    <row r="4152">
      <c r="F4152">
        <f>F4151+1</f>
        <v/>
      </c>
      <c r="G4152" s="92">
        <f>EXP($C$12+$C$8*_xlfn.NORM.S.INV(RAND()))</f>
        <v/>
      </c>
    </row>
    <row r="4153">
      <c r="F4153">
        <f>F4152+1</f>
        <v/>
      </c>
      <c r="G4153" s="92">
        <f>EXP($C$12+$C$8*_xlfn.NORM.S.INV(RAND()))</f>
        <v/>
      </c>
    </row>
    <row r="4154">
      <c r="F4154">
        <f>F4153+1</f>
        <v/>
      </c>
      <c r="G4154" s="92">
        <f>EXP($C$12+$C$8*_xlfn.NORM.S.INV(RAND()))</f>
        <v/>
      </c>
    </row>
    <row r="4155">
      <c r="F4155">
        <f>F4154+1</f>
        <v/>
      </c>
      <c r="G4155" s="92">
        <f>EXP($C$12+$C$8*_xlfn.NORM.S.INV(RAND()))</f>
        <v/>
      </c>
    </row>
    <row r="4156">
      <c r="F4156">
        <f>F4155+1</f>
        <v/>
      </c>
      <c r="G4156" s="92">
        <f>EXP($C$12+$C$8*_xlfn.NORM.S.INV(RAND()))</f>
        <v/>
      </c>
    </row>
    <row r="4157">
      <c r="F4157">
        <f>F4156+1</f>
        <v/>
      </c>
      <c r="G4157" s="92">
        <f>EXP($C$12+$C$8*_xlfn.NORM.S.INV(RAND()))</f>
        <v/>
      </c>
    </row>
    <row r="4158">
      <c r="F4158">
        <f>F4157+1</f>
        <v/>
      </c>
      <c r="G4158" s="92">
        <f>EXP($C$12+$C$8*_xlfn.NORM.S.INV(RAND()))</f>
        <v/>
      </c>
    </row>
    <row r="4159">
      <c r="F4159">
        <f>F4158+1</f>
        <v/>
      </c>
      <c r="G4159" s="92">
        <f>EXP($C$12+$C$8*_xlfn.NORM.S.INV(RAND()))</f>
        <v/>
      </c>
    </row>
    <row r="4160">
      <c r="F4160">
        <f>F4159+1</f>
        <v/>
      </c>
      <c r="G4160" s="92">
        <f>EXP($C$12+$C$8*_xlfn.NORM.S.INV(RAND()))</f>
        <v/>
      </c>
    </row>
    <row r="4161">
      <c r="F4161">
        <f>F4160+1</f>
        <v/>
      </c>
      <c r="G4161" s="92">
        <f>EXP($C$12+$C$8*_xlfn.NORM.S.INV(RAND()))</f>
        <v/>
      </c>
    </row>
    <row r="4162">
      <c r="F4162">
        <f>F4161+1</f>
        <v/>
      </c>
      <c r="G4162" s="92">
        <f>EXP($C$12+$C$8*_xlfn.NORM.S.INV(RAND()))</f>
        <v/>
      </c>
    </row>
    <row r="4163">
      <c r="F4163">
        <f>F4162+1</f>
        <v/>
      </c>
      <c r="G4163" s="92">
        <f>EXP($C$12+$C$8*_xlfn.NORM.S.INV(RAND()))</f>
        <v/>
      </c>
    </row>
    <row r="4164">
      <c r="F4164">
        <f>F4163+1</f>
        <v/>
      </c>
      <c r="G4164" s="92">
        <f>EXP($C$12+$C$8*_xlfn.NORM.S.INV(RAND()))</f>
        <v/>
      </c>
    </row>
    <row r="4165">
      <c r="F4165">
        <f>F4164+1</f>
        <v/>
      </c>
      <c r="G4165" s="92">
        <f>EXP($C$12+$C$8*_xlfn.NORM.S.INV(RAND()))</f>
        <v/>
      </c>
    </row>
    <row r="4166">
      <c r="F4166">
        <f>F4165+1</f>
        <v/>
      </c>
      <c r="G4166" s="92">
        <f>EXP($C$12+$C$8*_xlfn.NORM.S.INV(RAND()))</f>
        <v/>
      </c>
    </row>
    <row r="4167">
      <c r="F4167">
        <f>F4166+1</f>
        <v/>
      </c>
      <c r="G4167" s="92">
        <f>EXP($C$12+$C$8*_xlfn.NORM.S.INV(RAND()))</f>
        <v/>
      </c>
    </row>
    <row r="4168">
      <c r="F4168">
        <f>F4167+1</f>
        <v/>
      </c>
      <c r="G4168" s="92">
        <f>EXP($C$12+$C$8*_xlfn.NORM.S.INV(RAND()))</f>
        <v/>
      </c>
    </row>
    <row r="4169">
      <c r="F4169">
        <f>F4168+1</f>
        <v/>
      </c>
      <c r="G4169" s="92">
        <f>EXP($C$12+$C$8*_xlfn.NORM.S.INV(RAND()))</f>
        <v/>
      </c>
    </row>
    <row r="4170">
      <c r="F4170">
        <f>F4169+1</f>
        <v/>
      </c>
      <c r="G4170" s="92">
        <f>EXP($C$12+$C$8*_xlfn.NORM.S.INV(RAND()))</f>
        <v/>
      </c>
    </row>
    <row r="4171">
      <c r="F4171">
        <f>F4170+1</f>
        <v/>
      </c>
      <c r="G4171" s="92">
        <f>EXP($C$12+$C$8*_xlfn.NORM.S.INV(RAND()))</f>
        <v/>
      </c>
    </row>
    <row r="4172">
      <c r="F4172">
        <f>F4171+1</f>
        <v/>
      </c>
      <c r="G4172" s="92">
        <f>EXP($C$12+$C$8*_xlfn.NORM.S.INV(RAND()))</f>
        <v/>
      </c>
    </row>
    <row r="4173">
      <c r="F4173">
        <f>F4172+1</f>
        <v/>
      </c>
      <c r="G4173" s="92">
        <f>EXP($C$12+$C$8*_xlfn.NORM.S.INV(RAND()))</f>
        <v/>
      </c>
    </row>
    <row r="4174">
      <c r="F4174">
        <f>F4173+1</f>
        <v/>
      </c>
      <c r="G4174" s="92">
        <f>EXP($C$12+$C$8*_xlfn.NORM.S.INV(RAND()))</f>
        <v/>
      </c>
    </row>
    <row r="4175">
      <c r="F4175">
        <f>F4174+1</f>
        <v/>
      </c>
      <c r="G4175" s="92">
        <f>EXP($C$12+$C$8*_xlfn.NORM.S.INV(RAND()))</f>
        <v/>
      </c>
    </row>
    <row r="4176">
      <c r="F4176">
        <f>F4175+1</f>
        <v/>
      </c>
      <c r="G4176" s="92">
        <f>EXP($C$12+$C$8*_xlfn.NORM.S.INV(RAND()))</f>
        <v/>
      </c>
    </row>
    <row r="4177">
      <c r="F4177">
        <f>F4176+1</f>
        <v/>
      </c>
      <c r="G4177" s="92">
        <f>EXP($C$12+$C$8*_xlfn.NORM.S.INV(RAND()))</f>
        <v/>
      </c>
    </row>
    <row r="4178">
      <c r="F4178">
        <f>F4177+1</f>
        <v/>
      </c>
      <c r="G4178" s="92">
        <f>EXP($C$12+$C$8*_xlfn.NORM.S.INV(RAND()))</f>
        <v/>
      </c>
    </row>
    <row r="4179">
      <c r="F4179">
        <f>F4178+1</f>
        <v/>
      </c>
      <c r="G4179" s="92">
        <f>EXP($C$12+$C$8*_xlfn.NORM.S.INV(RAND()))</f>
        <v/>
      </c>
    </row>
    <row r="4180">
      <c r="F4180">
        <f>F4179+1</f>
        <v/>
      </c>
      <c r="G4180" s="92">
        <f>EXP($C$12+$C$8*_xlfn.NORM.S.INV(RAND()))</f>
        <v/>
      </c>
    </row>
    <row r="4181">
      <c r="F4181">
        <f>F4180+1</f>
        <v/>
      </c>
      <c r="G4181" s="92">
        <f>EXP($C$12+$C$8*_xlfn.NORM.S.INV(RAND()))</f>
        <v/>
      </c>
    </row>
    <row r="4182">
      <c r="F4182">
        <f>F4181+1</f>
        <v/>
      </c>
      <c r="G4182" s="92">
        <f>EXP($C$12+$C$8*_xlfn.NORM.S.INV(RAND()))</f>
        <v/>
      </c>
    </row>
    <row r="4183">
      <c r="F4183">
        <f>F4182+1</f>
        <v/>
      </c>
      <c r="G4183" s="92">
        <f>EXP($C$12+$C$8*_xlfn.NORM.S.INV(RAND()))</f>
        <v/>
      </c>
    </row>
    <row r="4184">
      <c r="F4184">
        <f>F4183+1</f>
        <v/>
      </c>
      <c r="G4184" s="92">
        <f>EXP($C$12+$C$8*_xlfn.NORM.S.INV(RAND()))</f>
        <v/>
      </c>
    </row>
    <row r="4185">
      <c r="F4185">
        <f>F4184+1</f>
        <v/>
      </c>
      <c r="G4185" s="92">
        <f>EXP($C$12+$C$8*_xlfn.NORM.S.INV(RAND()))</f>
        <v/>
      </c>
    </row>
    <row r="4186">
      <c r="F4186">
        <f>F4185+1</f>
        <v/>
      </c>
      <c r="G4186" s="92">
        <f>EXP($C$12+$C$8*_xlfn.NORM.S.INV(RAND()))</f>
        <v/>
      </c>
    </row>
    <row r="4187">
      <c r="F4187">
        <f>F4186+1</f>
        <v/>
      </c>
      <c r="G4187" s="92">
        <f>EXP($C$12+$C$8*_xlfn.NORM.S.INV(RAND()))</f>
        <v/>
      </c>
    </row>
    <row r="4188">
      <c r="F4188">
        <f>F4187+1</f>
        <v/>
      </c>
      <c r="G4188" s="92">
        <f>EXP($C$12+$C$8*_xlfn.NORM.S.INV(RAND()))</f>
        <v/>
      </c>
    </row>
    <row r="4189">
      <c r="F4189">
        <f>F4188+1</f>
        <v/>
      </c>
      <c r="G4189" s="92">
        <f>EXP($C$12+$C$8*_xlfn.NORM.S.INV(RAND()))</f>
        <v/>
      </c>
    </row>
    <row r="4190">
      <c r="F4190">
        <f>F4189+1</f>
        <v/>
      </c>
      <c r="G4190" s="92">
        <f>EXP($C$12+$C$8*_xlfn.NORM.S.INV(RAND()))</f>
        <v/>
      </c>
    </row>
    <row r="4191">
      <c r="F4191">
        <f>F4190+1</f>
        <v/>
      </c>
      <c r="G4191" s="92">
        <f>EXP($C$12+$C$8*_xlfn.NORM.S.INV(RAND()))</f>
        <v/>
      </c>
    </row>
    <row r="4192">
      <c r="F4192">
        <f>F4191+1</f>
        <v/>
      </c>
      <c r="G4192" s="92">
        <f>EXP($C$12+$C$8*_xlfn.NORM.S.INV(RAND()))</f>
        <v/>
      </c>
    </row>
    <row r="4193">
      <c r="F4193">
        <f>F4192+1</f>
        <v/>
      </c>
      <c r="G4193" s="92">
        <f>EXP($C$12+$C$8*_xlfn.NORM.S.INV(RAND()))</f>
        <v/>
      </c>
    </row>
    <row r="4194">
      <c r="F4194">
        <f>F4193+1</f>
        <v/>
      </c>
      <c r="G4194" s="92">
        <f>EXP($C$12+$C$8*_xlfn.NORM.S.INV(RAND()))</f>
        <v/>
      </c>
    </row>
    <row r="4195">
      <c r="F4195">
        <f>F4194+1</f>
        <v/>
      </c>
      <c r="G4195" s="92">
        <f>EXP($C$12+$C$8*_xlfn.NORM.S.INV(RAND()))</f>
        <v/>
      </c>
    </row>
    <row r="4196">
      <c r="F4196">
        <f>F4195+1</f>
        <v/>
      </c>
      <c r="G4196" s="92">
        <f>EXP($C$12+$C$8*_xlfn.NORM.S.INV(RAND()))</f>
        <v/>
      </c>
    </row>
    <row r="4197">
      <c r="F4197">
        <f>F4196+1</f>
        <v/>
      </c>
      <c r="G4197" s="92">
        <f>EXP($C$12+$C$8*_xlfn.NORM.S.INV(RAND()))</f>
        <v/>
      </c>
    </row>
    <row r="4198">
      <c r="F4198">
        <f>F4197+1</f>
        <v/>
      </c>
      <c r="G4198" s="92">
        <f>EXP($C$12+$C$8*_xlfn.NORM.S.INV(RAND()))</f>
        <v/>
      </c>
    </row>
    <row r="4199">
      <c r="F4199">
        <f>F4198+1</f>
        <v/>
      </c>
      <c r="G4199" s="92">
        <f>EXP($C$12+$C$8*_xlfn.NORM.S.INV(RAND()))</f>
        <v/>
      </c>
    </row>
    <row r="4200">
      <c r="F4200">
        <f>F4199+1</f>
        <v/>
      </c>
      <c r="G4200" s="92">
        <f>EXP($C$12+$C$8*_xlfn.NORM.S.INV(RAND()))</f>
        <v/>
      </c>
    </row>
    <row r="4201">
      <c r="F4201">
        <f>F4200+1</f>
        <v/>
      </c>
      <c r="G4201" s="92">
        <f>EXP($C$12+$C$8*_xlfn.NORM.S.INV(RAND()))</f>
        <v/>
      </c>
    </row>
    <row r="4202">
      <c r="F4202">
        <f>F4201+1</f>
        <v/>
      </c>
      <c r="G4202" s="92">
        <f>EXP($C$12+$C$8*_xlfn.NORM.S.INV(RAND()))</f>
        <v/>
      </c>
    </row>
    <row r="4203">
      <c r="F4203">
        <f>F4202+1</f>
        <v/>
      </c>
      <c r="G4203" s="92">
        <f>EXP($C$12+$C$8*_xlfn.NORM.S.INV(RAND()))</f>
        <v/>
      </c>
    </row>
    <row r="4204">
      <c r="F4204">
        <f>F4203+1</f>
        <v/>
      </c>
      <c r="G4204" s="92">
        <f>EXP($C$12+$C$8*_xlfn.NORM.S.INV(RAND()))</f>
        <v/>
      </c>
    </row>
    <row r="4205">
      <c r="F4205">
        <f>F4204+1</f>
        <v/>
      </c>
      <c r="G4205" s="92">
        <f>EXP($C$12+$C$8*_xlfn.NORM.S.INV(RAND()))</f>
        <v/>
      </c>
    </row>
    <row r="4206">
      <c r="F4206">
        <f>F4205+1</f>
        <v/>
      </c>
      <c r="G4206" s="92">
        <f>EXP($C$12+$C$8*_xlfn.NORM.S.INV(RAND()))</f>
        <v/>
      </c>
    </row>
    <row r="4207">
      <c r="F4207">
        <f>F4206+1</f>
        <v/>
      </c>
      <c r="G4207" s="92">
        <f>EXP($C$12+$C$8*_xlfn.NORM.S.INV(RAND()))</f>
        <v/>
      </c>
    </row>
    <row r="4208">
      <c r="F4208">
        <f>F4207+1</f>
        <v/>
      </c>
      <c r="G4208" s="92">
        <f>EXP($C$12+$C$8*_xlfn.NORM.S.INV(RAND()))</f>
        <v/>
      </c>
    </row>
    <row r="4209">
      <c r="F4209">
        <f>F4208+1</f>
        <v/>
      </c>
      <c r="G4209" s="92">
        <f>EXP($C$12+$C$8*_xlfn.NORM.S.INV(RAND()))</f>
        <v/>
      </c>
    </row>
    <row r="4210">
      <c r="F4210">
        <f>F4209+1</f>
        <v/>
      </c>
      <c r="G4210" s="92">
        <f>EXP($C$12+$C$8*_xlfn.NORM.S.INV(RAND()))</f>
        <v/>
      </c>
    </row>
    <row r="4211">
      <c r="F4211">
        <f>F4210+1</f>
        <v/>
      </c>
      <c r="G4211" s="92">
        <f>EXP($C$12+$C$8*_xlfn.NORM.S.INV(RAND()))</f>
        <v/>
      </c>
    </row>
    <row r="4212">
      <c r="F4212">
        <f>F4211+1</f>
        <v/>
      </c>
      <c r="G4212" s="92">
        <f>EXP($C$12+$C$8*_xlfn.NORM.S.INV(RAND()))</f>
        <v/>
      </c>
    </row>
    <row r="4213">
      <c r="F4213">
        <f>F4212+1</f>
        <v/>
      </c>
      <c r="G4213" s="92">
        <f>EXP($C$12+$C$8*_xlfn.NORM.S.INV(RAND()))</f>
        <v/>
      </c>
    </row>
    <row r="4214">
      <c r="F4214">
        <f>F4213+1</f>
        <v/>
      </c>
      <c r="G4214" s="92">
        <f>EXP($C$12+$C$8*_xlfn.NORM.S.INV(RAND()))</f>
        <v/>
      </c>
    </row>
    <row r="4215">
      <c r="F4215">
        <f>F4214+1</f>
        <v/>
      </c>
      <c r="G4215" s="92">
        <f>EXP($C$12+$C$8*_xlfn.NORM.S.INV(RAND()))</f>
        <v/>
      </c>
    </row>
    <row r="4216">
      <c r="F4216">
        <f>F4215+1</f>
        <v/>
      </c>
      <c r="G4216" s="92">
        <f>EXP($C$12+$C$8*_xlfn.NORM.S.INV(RAND()))</f>
        <v/>
      </c>
    </row>
    <row r="4217">
      <c r="F4217">
        <f>F4216+1</f>
        <v/>
      </c>
      <c r="G4217" s="92">
        <f>EXP($C$12+$C$8*_xlfn.NORM.S.INV(RAND()))</f>
        <v/>
      </c>
    </row>
    <row r="4218">
      <c r="F4218">
        <f>F4217+1</f>
        <v/>
      </c>
      <c r="G4218" s="92">
        <f>EXP($C$12+$C$8*_xlfn.NORM.S.INV(RAND()))</f>
        <v/>
      </c>
    </row>
    <row r="4219">
      <c r="F4219">
        <f>F4218+1</f>
        <v/>
      </c>
      <c r="G4219" s="92">
        <f>EXP($C$12+$C$8*_xlfn.NORM.S.INV(RAND()))</f>
        <v/>
      </c>
    </row>
    <row r="4220">
      <c r="F4220">
        <f>F4219+1</f>
        <v/>
      </c>
      <c r="G4220" s="92">
        <f>EXP($C$12+$C$8*_xlfn.NORM.S.INV(RAND()))</f>
        <v/>
      </c>
    </row>
    <row r="4221">
      <c r="F4221">
        <f>F4220+1</f>
        <v/>
      </c>
      <c r="G4221" s="92">
        <f>EXP($C$12+$C$8*_xlfn.NORM.S.INV(RAND()))</f>
        <v/>
      </c>
    </row>
    <row r="4222">
      <c r="F4222">
        <f>F4221+1</f>
        <v/>
      </c>
      <c r="G4222" s="92">
        <f>EXP($C$12+$C$8*_xlfn.NORM.S.INV(RAND()))</f>
        <v/>
      </c>
    </row>
    <row r="4223">
      <c r="F4223">
        <f>F4222+1</f>
        <v/>
      </c>
      <c r="G4223" s="92">
        <f>EXP($C$12+$C$8*_xlfn.NORM.S.INV(RAND()))</f>
        <v/>
      </c>
    </row>
    <row r="4224">
      <c r="F4224">
        <f>F4223+1</f>
        <v/>
      </c>
      <c r="G4224" s="92">
        <f>EXP($C$12+$C$8*_xlfn.NORM.S.INV(RAND()))</f>
        <v/>
      </c>
    </row>
    <row r="4225">
      <c r="F4225">
        <f>F4224+1</f>
        <v/>
      </c>
      <c r="G4225" s="92">
        <f>EXP($C$12+$C$8*_xlfn.NORM.S.INV(RAND()))</f>
        <v/>
      </c>
    </row>
    <row r="4226">
      <c r="F4226">
        <f>F4225+1</f>
        <v/>
      </c>
      <c r="G4226" s="92">
        <f>EXP($C$12+$C$8*_xlfn.NORM.S.INV(RAND()))</f>
        <v/>
      </c>
    </row>
    <row r="4227">
      <c r="F4227">
        <f>F4226+1</f>
        <v/>
      </c>
      <c r="G4227" s="92">
        <f>EXP($C$12+$C$8*_xlfn.NORM.S.INV(RAND()))</f>
        <v/>
      </c>
    </row>
    <row r="4228">
      <c r="F4228">
        <f>F4227+1</f>
        <v/>
      </c>
      <c r="G4228" s="92">
        <f>EXP($C$12+$C$8*_xlfn.NORM.S.INV(RAND()))</f>
        <v/>
      </c>
    </row>
    <row r="4229">
      <c r="F4229">
        <f>F4228+1</f>
        <v/>
      </c>
      <c r="G4229" s="92">
        <f>EXP($C$12+$C$8*_xlfn.NORM.S.INV(RAND()))</f>
        <v/>
      </c>
    </row>
    <row r="4230">
      <c r="F4230">
        <f>F4229+1</f>
        <v/>
      </c>
      <c r="G4230" s="92">
        <f>EXP($C$12+$C$8*_xlfn.NORM.S.INV(RAND()))</f>
        <v/>
      </c>
    </row>
    <row r="4231">
      <c r="F4231">
        <f>F4230+1</f>
        <v/>
      </c>
      <c r="G4231" s="92">
        <f>EXP($C$12+$C$8*_xlfn.NORM.S.INV(RAND()))</f>
        <v/>
      </c>
    </row>
    <row r="4232">
      <c r="F4232">
        <f>F4231+1</f>
        <v/>
      </c>
      <c r="G4232" s="92">
        <f>EXP($C$12+$C$8*_xlfn.NORM.S.INV(RAND()))</f>
        <v/>
      </c>
    </row>
    <row r="4233">
      <c r="F4233">
        <f>F4232+1</f>
        <v/>
      </c>
      <c r="G4233" s="92">
        <f>EXP($C$12+$C$8*_xlfn.NORM.S.INV(RAND()))</f>
        <v/>
      </c>
    </row>
    <row r="4234">
      <c r="F4234">
        <f>F4233+1</f>
        <v/>
      </c>
      <c r="G4234" s="92">
        <f>EXP($C$12+$C$8*_xlfn.NORM.S.INV(RAND()))</f>
        <v/>
      </c>
    </row>
    <row r="4235">
      <c r="F4235">
        <f>F4234+1</f>
        <v/>
      </c>
      <c r="G4235" s="92">
        <f>EXP($C$12+$C$8*_xlfn.NORM.S.INV(RAND()))</f>
        <v/>
      </c>
    </row>
    <row r="4236">
      <c r="F4236">
        <f>F4235+1</f>
        <v/>
      </c>
      <c r="G4236" s="92">
        <f>EXP($C$12+$C$8*_xlfn.NORM.S.INV(RAND()))</f>
        <v/>
      </c>
    </row>
    <row r="4237">
      <c r="F4237">
        <f>F4236+1</f>
        <v/>
      </c>
      <c r="G4237" s="92">
        <f>EXP($C$12+$C$8*_xlfn.NORM.S.INV(RAND()))</f>
        <v/>
      </c>
    </row>
    <row r="4238">
      <c r="F4238">
        <f>F4237+1</f>
        <v/>
      </c>
      <c r="G4238" s="92">
        <f>EXP($C$12+$C$8*_xlfn.NORM.S.INV(RAND()))</f>
        <v/>
      </c>
    </row>
    <row r="4239">
      <c r="F4239">
        <f>F4238+1</f>
        <v/>
      </c>
      <c r="G4239" s="92">
        <f>EXP($C$12+$C$8*_xlfn.NORM.S.INV(RAND()))</f>
        <v/>
      </c>
    </row>
    <row r="4240">
      <c r="F4240">
        <f>F4239+1</f>
        <v/>
      </c>
      <c r="G4240" s="92">
        <f>EXP($C$12+$C$8*_xlfn.NORM.S.INV(RAND()))</f>
        <v/>
      </c>
    </row>
    <row r="4241">
      <c r="F4241">
        <f>F4240+1</f>
        <v/>
      </c>
      <c r="G4241" s="92">
        <f>EXP($C$12+$C$8*_xlfn.NORM.S.INV(RAND()))</f>
        <v/>
      </c>
    </row>
    <row r="4242">
      <c r="F4242">
        <f>F4241+1</f>
        <v/>
      </c>
      <c r="G4242" s="92">
        <f>EXP($C$12+$C$8*_xlfn.NORM.S.INV(RAND()))</f>
        <v/>
      </c>
    </row>
    <row r="4243">
      <c r="F4243">
        <f>F4242+1</f>
        <v/>
      </c>
      <c r="G4243" s="92">
        <f>EXP($C$12+$C$8*_xlfn.NORM.S.INV(RAND()))</f>
        <v/>
      </c>
    </row>
    <row r="4244">
      <c r="F4244">
        <f>F4243+1</f>
        <v/>
      </c>
      <c r="G4244" s="92">
        <f>EXP($C$12+$C$8*_xlfn.NORM.S.INV(RAND()))</f>
        <v/>
      </c>
    </row>
    <row r="4245">
      <c r="F4245">
        <f>F4244+1</f>
        <v/>
      </c>
      <c r="G4245" s="92">
        <f>EXP($C$12+$C$8*_xlfn.NORM.S.INV(RAND()))</f>
        <v/>
      </c>
    </row>
    <row r="4246">
      <c r="F4246">
        <f>F4245+1</f>
        <v/>
      </c>
      <c r="G4246" s="92">
        <f>EXP($C$12+$C$8*_xlfn.NORM.S.INV(RAND()))</f>
        <v/>
      </c>
    </row>
    <row r="4247">
      <c r="F4247">
        <f>F4246+1</f>
        <v/>
      </c>
      <c r="G4247" s="92">
        <f>EXP($C$12+$C$8*_xlfn.NORM.S.INV(RAND()))</f>
        <v/>
      </c>
    </row>
    <row r="4248">
      <c r="F4248">
        <f>F4247+1</f>
        <v/>
      </c>
      <c r="G4248" s="92">
        <f>EXP($C$12+$C$8*_xlfn.NORM.S.INV(RAND()))</f>
        <v/>
      </c>
    </row>
    <row r="4249">
      <c r="F4249">
        <f>F4248+1</f>
        <v/>
      </c>
      <c r="G4249" s="92">
        <f>EXP($C$12+$C$8*_xlfn.NORM.S.INV(RAND()))</f>
        <v/>
      </c>
    </row>
    <row r="4250">
      <c r="F4250">
        <f>F4249+1</f>
        <v/>
      </c>
      <c r="G4250" s="92">
        <f>EXP($C$12+$C$8*_xlfn.NORM.S.INV(RAND()))</f>
        <v/>
      </c>
    </row>
    <row r="4251">
      <c r="F4251">
        <f>F4250+1</f>
        <v/>
      </c>
      <c r="G4251" s="92">
        <f>EXP($C$12+$C$8*_xlfn.NORM.S.INV(RAND()))</f>
        <v/>
      </c>
    </row>
    <row r="4252">
      <c r="F4252">
        <f>F4251+1</f>
        <v/>
      </c>
      <c r="G4252" s="92">
        <f>EXP($C$12+$C$8*_xlfn.NORM.S.INV(RAND()))</f>
        <v/>
      </c>
    </row>
    <row r="4253">
      <c r="F4253">
        <f>F4252+1</f>
        <v/>
      </c>
      <c r="G4253" s="92">
        <f>EXP($C$12+$C$8*_xlfn.NORM.S.INV(RAND()))</f>
        <v/>
      </c>
    </row>
    <row r="4254">
      <c r="F4254">
        <f>F4253+1</f>
        <v/>
      </c>
      <c r="G4254" s="92">
        <f>EXP($C$12+$C$8*_xlfn.NORM.S.INV(RAND()))</f>
        <v/>
      </c>
    </row>
    <row r="4255">
      <c r="F4255">
        <f>F4254+1</f>
        <v/>
      </c>
      <c r="G4255" s="92">
        <f>EXP($C$12+$C$8*_xlfn.NORM.S.INV(RAND()))</f>
        <v/>
      </c>
    </row>
    <row r="4256">
      <c r="F4256">
        <f>F4255+1</f>
        <v/>
      </c>
      <c r="G4256" s="92">
        <f>EXP($C$12+$C$8*_xlfn.NORM.S.INV(RAND()))</f>
        <v/>
      </c>
    </row>
    <row r="4257">
      <c r="F4257">
        <f>F4256+1</f>
        <v/>
      </c>
      <c r="G4257" s="92">
        <f>EXP($C$12+$C$8*_xlfn.NORM.S.INV(RAND()))</f>
        <v/>
      </c>
    </row>
    <row r="4258">
      <c r="F4258">
        <f>F4257+1</f>
        <v/>
      </c>
      <c r="G4258" s="92">
        <f>EXP($C$12+$C$8*_xlfn.NORM.S.INV(RAND()))</f>
        <v/>
      </c>
    </row>
    <row r="4259">
      <c r="F4259">
        <f>F4258+1</f>
        <v/>
      </c>
      <c r="G4259" s="92">
        <f>EXP($C$12+$C$8*_xlfn.NORM.S.INV(RAND()))</f>
        <v/>
      </c>
    </row>
    <row r="4260">
      <c r="F4260">
        <f>F4259+1</f>
        <v/>
      </c>
      <c r="G4260" s="92">
        <f>EXP($C$12+$C$8*_xlfn.NORM.S.INV(RAND()))</f>
        <v/>
      </c>
    </row>
    <row r="4261">
      <c r="F4261">
        <f>F4260+1</f>
        <v/>
      </c>
      <c r="G4261" s="92">
        <f>EXP($C$12+$C$8*_xlfn.NORM.S.INV(RAND()))</f>
        <v/>
      </c>
    </row>
    <row r="4262">
      <c r="F4262">
        <f>F4261+1</f>
        <v/>
      </c>
      <c r="G4262" s="92">
        <f>EXP($C$12+$C$8*_xlfn.NORM.S.INV(RAND()))</f>
        <v/>
      </c>
    </row>
    <row r="4263">
      <c r="F4263">
        <f>F4262+1</f>
        <v/>
      </c>
      <c r="G4263" s="92">
        <f>EXP($C$12+$C$8*_xlfn.NORM.S.INV(RAND()))</f>
        <v/>
      </c>
    </row>
    <row r="4264">
      <c r="F4264">
        <f>F4263+1</f>
        <v/>
      </c>
      <c r="G4264" s="92">
        <f>EXP($C$12+$C$8*_xlfn.NORM.S.INV(RAND()))</f>
        <v/>
      </c>
    </row>
    <row r="4265">
      <c r="F4265">
        <f>F4264+1</f>
        <v/>
      </c>
      <c r="G4265" s="92">
        <f>EXP($C$12+$C$8*_xlfn.NORM.S.INV(RAND()))</f>
        <v/>
      </c>
    </row>
    <row r="4266">
      <c r="F4266">
        <f>F4265+1</f>
        <v/>
      </c>
      <c r="G4266" s="92">
        <f>EXP($C$12+$C$8*_xlfn.NORM.S.INV(RAND()))</f>
        <v/>
      </c>
    </row>
    <row r="4267">
      <c r="F4267">
        <f>F4266+1</f>
        <v/>
      </c>
      <c r="G4267" s="92">
        <f>EXP($C$12+$C$8*_xlfn.NORM.S.INV(RAND()))</f>
        <v/>
      </c>
    </row>
    <row r="4268">
      <c r="F4268">
        <f>F4267+1</f>
        <v/>
      </c>
      <c r="G4268" s="92">
        <f>EXP($C$12+$C$8*_xlfn.NORM.S.INV(RAND()))</f>
        <v/>
      </c>
    </row>
    <row r="4269">
      <c r="F4269">
        <f>F4268+1</f>
        <v/>
      </c>
      <c r="G4269" s="92">
        <f>EXP($C$12+$C$8*_xlfn.NORM.S.INV(RAND()))</f>
        <v/>
      </c>
    </row>
    <row r="4270">
      <c r="F4270">
        <f>F4269+1</f>
        <v/>
      </c>
      <c r="G4270" s="92">
        <f>EXP($C$12+$C$8*_xlfn.NORM.S.INV(RAND()))</f>
        <v/>
      </c>
    </row>
    <row r="4271">
      <c r="F4271">
        <f>F4270+1</f>
        <v/>
      </c>
      <c r="G4271" s="92">
        <f>EXP($C$12+$C$8*_xlfn.NORM.S.INV(RAND()))</f>
        <v/>
      </c>
    </row>
    <row r="4272">
      <c r="F4272">
        <f>F4271+1</f>
        <v/>
      </c>
      <c r="G4272" s="92">
        <f>EXP($C$12+$C$8*_xlfn.NORM.S.INV(RAND()))</f>
        <v/>
      </c>
    </row>
    <row r="4273">
      <c r="F4273">
        <f>F4272+1</f>
        <v/>
      </c>
      <c r="G4273" s="92">
        <f>EXP($C$12+$C$8*_xlfn.NORM.S.INV(RAND()))</f>
        <v/>
      </c>
    </row>
    <row r="4274">
      <c r="F4274">
        <f>F4273+1</f>
        <v/>
      </c>
      <c r="G4274" s="92">
        <f>EXP($C$12+$C$8*_xlfn.NORM.S.INV(RAND()))</f>
        <v/>
      </c>
    </row>
    <row r="4275">
      <c r="F4275">
        <f>F4274+1</f>
        <v/>
      </c>
      <c r="G4275" s="92">
        <f>EXP($C$12+$C$8*_xlfn.NORM.S.INV(RAND()))</f>
        <v/>
      </c>
    </row>
    <row r="4276">
      <c r="F4276">
        <f>F4275+1</f>
        <v/>
      </c>
      <c r="G4276" s="92">
        <f>EXP($C$12+$C$8*_xlfn.NORM.S.INV(RAND()))</f>
        <v/>
      </c>
    </row>
    <row r="4277">
      <c r="F4277">
        <f>F4276+1</f>
        <v/>
      </c>
      <c r="G4277" s="92">
        <f>EXP($C$12+$C$8*_xlfn.NORM.S.INV(RAND()))</f>
        <v/>
      </c>
    </row>
    <row r="4278">
      <c r="F4278">
        <f>F4277+1</f>
        <v/>
      </c>
      <c r="G4278" s="92">
        <f>EXP($C$12+$C$8*_xlfn.NORM.S.INV(RAND()))</f>
        <v/>
      </c>
    </row>
    <row r="4279">
      <c r="F4279">
        <f>F4278+1</f>
        <v/>
      </c>
      <c r="G4279" s="92">
        <f>EXP($C$12+$C$8*_xlfn.NORM.S.INV(RAND()))</f>
        <v/>
      </c>
    </row>
    <row r="4280">
      <c r="F4280">
        <f>F4279+1</f>
        <v/>
      </c>
      <c r="G4280" s="92">
        <f>EXP($C$12+$C$8*_xlfn.NORM.S.INV(RAND()))</f>
        <v/>
      </c>
    </row>
    <row r="4281">
      <c r="F4281">
        <f>F4280+1</f>
        <v/>
      </c>
      <c r="G4281" s="92">
        <f>EXP($C$12+$C$8*_xlfn.NORM.S.INV(RAND()))</f>
        <v/>
      </c>
    </row>
    <row r="4282">
      <c r="F4282">
        <f>F4281+1</f>
        <v/>
      </c>
      <c r="G4282" s="92">
        <f>EXP($C$12+$C$8*_xlfn.NORM.S.INV(RAND()))</f>
        <v/>
      </c>
    </row>
    <row r="4283">
      <c r="F4283">
        <f>F4282+1</f>
        <v/>
      </c>
      <c r="G4283" s="92">
        <f>EXP($C$12+$C$8*_xlfn.NORM.S.INV(RAND()))</f>
        <v/>
      </c>
    </row>
    <row r="4284">
      <c r="F4284">
        <f>F4283+1</f>
        <v/>
      </c>
      <c r="G4284" s="92">
        <f>EXP($C$12+$C$8*_xlfn.NORM.S.INV(RAND()))</f>
        <v/>
      </c>
    </row>
    <row r="4285">
      <c r="F4285">
        <f>F4284+1</f>
        <v/>
      </c>
      <c r="G4285" s="92">
        <f>EXP($C$12+$C$8*_xlfn.NORM.S.INV(RAND()))</f>
        <v/>
      </c>
    </row>
    <row r="4286">
      <c r="F4286">
        <f>F4285+1</f>
        <v/>
      </c>
      <c r="G4286" s="92">
        <f>EXP($C$12+$C$8*_xlfn.NORM.S.INV(RAND()))</f>
        <v/>
      </c>
    </row>
    <row r="4287">
      <c r="F4287">
        <f>F4286+1</f>
        <v/>
      </c>
      <c r="G4287" s="92">
        <f>EXP($C$12+$C$8*_xlfn.NORM.S.INV(RAND()))</f>
        <v/>
      </c>
    </row>
    <row r="4288">
      <c r="F4288">
        <f>F4287+1</f>
        <v/>
      </c>
      <c r="G4288" s="92">
        <f>EXP($C$12+$C$8*_xlfn.NORM.S.INV(RAND()))</f>
        <v/>
      </c>
    </row>
    <row r="4289">
      <c r="F4289">
        <f>F4288+1</f>
        <v/>
      </c>
      <c r="G4289" s="92">
        <f>EXP($C$12+$C$8*_xlfn.NORM.S.INV(RAND()))</f>
        <v/>
      </c>
    </row>
    <row r="4290">
      <c r="F4290">
        <f>F4289+1</f>
        <v/>
      </c>
      <c r="G4290" s="92">
        <f>EXP($C$12+$C$8*_xlfn.NORM.S.INV(RAND()))</f>
        <v/>
      </c>
    </row>
    <row r="4291">
      <c r="F4291">
        <f>F4290+1</f>
        <v/>
      </c>
      <c r="G4291" s="92">
        <f>EXP($C$12+$C$8*_xlfn.NORM.S.INV(RAND()))</f>
        <v/>
      </c>
    </row>
    <row r="4292">
      <c r="F4292">
        <f>F4291+1</f>
        <v/>
      </c>
      <c r="G4292" s="92">
        <f>EXP($C$12+$C$8*_xlfn.NORM.S.INV(RAND()))</f>
        <v/>
      </c>
    </row>
    <row r="4293">
      <c r="F4293">
        <f>F4292+1</f>
        <v/>
      </c>
      <c r="G4293" s="92">
        <f>EXP($C$12+$C$8*_xlfn.NORM.S.INV(RAND()))</f>
        <v/>
      </c>
    </row>
    <row r="4294">
      <c r="F4294">
        <f>F4293+1</f>
        <v/>
      </c>
      <c r="G4294" s="92">
        <f>EXP($C$12+$C$8*_xlfn.NORM.S.INV(RAND()))</f>
        <v/>
      </c>
    </row>
    <row r="4295">
      <c r="F4295">
        <f>F4294+1</f>
        <v/>
      </c>
      <c r="G4295" s="92">
        <f>EXP($C$12+$C$8*_xlfn.NORM.S.INV(RAND()))</f>
        <v/>
      </c>
    </row>
    <row r="4296">
      <c r="F4296">
        <f>F4295+1</f>
        <v/>
      </c>
      <c r="G4296" s="92">
        <f>EXP($C$12+$C$8*_xlfn.NORM.S.INV(RAND()))</f>
        <v/>
      </c>
    </row>
    <row r="4297">
      <c r="F4297">
        <f>F4296+1</f>
        <v/>
      </c>
      <c r="G4297" s="92">
        <f>EXP($C$12+$C$8*_xlfn.NORM.S.INV(RAND()))</f>
        <v/>
      </c>
    </row>
    <row r="4298">
      <c r="F4298">
        <f>F4297+1</f>
        <v/>
      </c>
      <c r="G4298" s="92">
        <f>EXP($C$12+$C$8*_xlfn.NORM.S.INV(RAND()))</f>
        <v/>
      </c>
    </row>
    <row r="4299">
      <c r="F4299">
        <f>F4298+1</f>
        <v/>
      </c>
      <c r="G4299" s="92">
        <f>EXP($C$12+$C$8*_xlfn.NORM.S.INV(RAND()))</f>
        <v/>
      </c>
    </row>
    <row r="4300">
      <c r="F4300">
        <f>F4299+1</f>
        <v/>
      </c>
      <c r="G4300" s="92">
        <f>EXP($C$12+$C$8*_xlfn.NORM.S.INV(RAND()))</f>
        <v/>
      </c>
    </row>
    <row r="4301">
      <c r="F4301">
        <f>F4300+1</f>
        <v/>
      </c>
      <c r="G4301" s="92">
        <f>EXP($C$12+$C$8*_xlfn.NORM.S.INV(RAND()))</f>
        <v/>
      </c>
    </row>
    <row r="4302">
      <c r="F4302">
        <f>F4301+1</f>
        <v/>
      </c>
      <c r="G4302" s="92">
        <f>EXP($C$12+$C$8*_xlfn.NORM.S.INV(RAND()))</f>
        <v/>
      </c>
    </row>
    <row r="4303">
      <c r="F4303">
        <f>F4302+1</f>
        <v/>
      </c>
      <c r="G4303" s="92">
        <f>EXP($C$12+$C$8*_xlfn.NORM.S.INV(RAND()))</f>
        <v/>
      </c>
    </row>
    <row r="4304">
      <c r="F4304">
        <f>F4303+1</f>
        <v/>
      </c>
      <c r="G4304" s="92">
        <f>EXP($C$12+$C$8*_xlfn.NORM.S.INV(RAND()))</f>
        <v/>
      </c>
    </row>
    <row r="4305">
      <c r="F4305">
        <f>F4304+1</f>
        <v/>
      </c>
      <c r="G4305" s="92">
        <f>EXP($C$12+$C$8*_xlfn.NORM.S.INV(RAND()))</f>
        <v/>
      </c>
    </row>
    <row r="4306">
      <c r="F4306">
        <f>F4305+1</f>
        <v/>
      </c>
      <c r="G4306" s="92">
        <f>EXP($C$12+$C$8*_xlfn.NORM.S.INV(RAND()))</f>
        <v/>
      </c>
    </row>
    <row r="4307">
      <c r="F4307">
        <f>F4306+1</f>
        <v/>
      </c>
      <c r="G4307" s="92">
        <f>EXP($C$12+$C$8*_xlfn.NORM.S.INV(RAND()))</f>
        <v/>
      </c>
    </row>
    <row r="4308">
      <c r="F4308">
        <f>F4307+1</f>
        <v/>
      </c>
      <c r="G4308" s="92">
        <f>EXP($C$12+$C$8*_xlfn.NORM.S.INV(RAND()))</f>
        <v/>
      </c>
    </row>
    <row r="4309">
      <c r="F4309">
        <f>F4308+1</f>
        <v/>
      </c>
      <c r="G4309" s="92">
        <f>EXP($C$12+$C$8*_xlfn.NORM.S.INV(RAND()))</f>
        <v/>
      </c>
    </row>
    <row r="4310">
      <c r="F4310">
        <f>F4309+1</f>
        <v/>
      </c>
      <c r="G4310" s="92">
        <f>EXP($C$12+$C$8*_xlfn.NORM.S.INV(RAND()))</f>
        <v/>
      </c>
    </row>
    <row r="4311">
      <c r="F4311">
        <f>F4310+1</f>
        <v/>
      </c>
      <c r="G4311" s="92">
        <f>EXP($C$12+$C$8*_xlfn.NORM.S.INV(RAND()))</f>
        <v/>
      </c>
    </row>
    <row r="4312">
      <c r="F4312">
        <f>F4311+1</f>
        <v/>
      </c>
      <c r="G4312" s="92">
        <f>EXP($C$12+$C$8*_xlfn.NORM.S.INV(RAND()))</f>
        <v/>
      </c>
    </row>
    <row r="4313">
      <c r="F4313">
        <f>F4312+1</f>
        <v/>
      </c>
      <c r="G4313" s="92">
        <f>EXP($C$12+$C$8*_xlfn.NORM.S.INV(RAND()))</f>
        <v/>
      </c>
    </row>
    <row r="4314">
      <c r="F4314">
        <f>F4313+1</f>
        <v/>
      </c>
      <c r="G4314" s="92">
        <f>EXP($C$12+$C$8*_xlfn.NORM.S.INV(RAND()))</f>
        <v/>
      </c>
    </row>
    <row r="4315">
      <c r="F4315">
        <f>F4314+1</f>
        <v/>
      </c>
      <c r="G4315" s="92">
        <f>EXP($C$12+$C$8*_xlfn.NORM.S.INV(RAND()))</f>
        <v/>
      </c>
    </row>
    <row r="4316">
      <c r="F4316">
        <f>F4315+1</f>
        <v/>
      </c>
      <c r="G4316" s="92">
        <f>EXP($C$12+$C$8*_xlfn.NORM.S.INV(RAND()))</f>
        <v/>
      </c>
    </row>
    <row r="4317">
      <c r="F4317">
        <f>F4316+1</f>
        <v/>
      </c>
      <c r="G4317" s="92">
        <f>EXP($C$12+$C$8*_xlfn.NORM.S.INV(RAND()))</f>
        <v/>
      </c>
    </row>
    <row r="4318">
      <c r="F4318">
        <f>F4317+1</f>
        <v/>
      </c>
      <c r="G4318" s="92">
        <f>EXP($C$12+$C$8*_xlfn.NORM.S.INV(RAND()))</f>
        <v/>
      </c>
    </row>
    <row r="4319">
      <c r="F4319">
        <f>F4318+1</f>
        <v/>
      </c>
      <c r="G4319" s="92">
        <f>EXP($C$12+$C$8*_xlfn.NORM.S.INV(RAND()))</f>
        <v/>
      </c>
    </row>
    <row r="4320">
      <c r="F4320">
        <f>F4319+1</f>
        <v/>
      </c>
      <c r="G4320" s="92">
        <f>EXP($C$12+$C$8*_xlfn.NORM.S.INV(RAND()))</f>
        <v/>
      </c>
    </row>
    <row r="4321">
      <c r="F4321">
        <f>F4320+1</f>
        <v/>
      </c>
      <c r="G4321" s="92">
        <f>EXP($C$12+$C$8*_xlfn.NORM.S.INV(RAND()))</f>
        <v/>
      </c>
    </row>
    <row r="4322">
      <c r="F4322">
        <f>F4321+1</f>
        <v/>
      </c>
      <c r="G4322" s="92">
        <f>EXP($C$12+$C$8*_xlfn.NORM.S.INV(RAND()))</f>
        <v/>
      </c>
    </row>
    <row r="4323">
      <c r="F4323">
        <f>F4322+1</f>
        <v/>
      </c>
      <c r="G4323" s="92">
        <f>EXP($C$12+$C$8*_xlfn.NORM.S.INV(RAND()))</f>
        <v/>
      </c>
    </row>
    <row r="4324">
      <c r="F4324">
        <f>F4323+1</f>
        <v/>
      </c>
      <c r="G4324" s="92">
        <f>EXP($C$12+$C$8*_xlfn.NORM.S.INV(RAND()))</f>
        <v/>
      </c>
    </row>
    <row r="4325">
      <c r="F4325">
        <f>F4324+1</f>
        <v/>
      </c>
      <c r="G4325" s="92">
        <f>EXP($C$12+$C$8*_xlfn.NORM.S.INV(RAND()))</f>
        <v/>
      </c>
    </row>
    <row r="4326">
      <c r="F4326">
        <f>F4325+1</f>
        <v/>
      </c>
      <c r="G4326" s="92">
        <f>EXP($C$12+$C$8*_xlfn.NORM.S.INV(RAND()))</f>
        <v/>
      </c>
    </row>
    <row r="4327">
      <c r="F4327">
        <f>F4326+1</f>
        <v/>
      </c>
      <c r="G4327" s="92">
        <f>EXP($C$12+$C$8*_xlfn.NORM.S.INV(RAND()))</f>
        <v/>
      </c>
    </row>
    <row r="4328">
      <c r="F4328">
        <f>F4327+1</f>
        <v/>
      </c>
      <c r="G4328" s="92">
        <f>EXP($C$12+$C$8*_xlfn.NORM.S.INV(RAND()))</f>
        <v/>
      </c>
    </row>
    <row r="4329">
      <c r="F4329">
        <f>F4328+1</f>
        <v/>
      </c>
      <c r="G4329" s="92">
        <f>EXP($C$12+$C$8*_xlfn.NORM.S.INV(RAND()))</f>
        <v/>
      </c>
    </row>
    <row r="4330">
      <c r="F4330">
        <f>F4329+1</f>
        <v/>
      </c>
      <c r="G4330" s="92">
        <f>EXP($C$12+$C$8*_xlfn.NORM.S.INV(RAND()))</f>
        <v/>
      </c>
    </row>
    <row r="4331">
      <c r="F4331">
        <f>F4330+1</f>
        <v/>
      </c>
      <c r="G4331" s="92">
        <f>EXP($C$12+$C$8*_xlfn.NORM.S.INV(RAND()))</f>
        <v/>
      </c>
    </row>
    <row r="4332">
      <c r="F4332">
        <f>F4331+1</f>
        <v/>
      </c>
      <c r="G4332" s="92">
        <f>EXP($C$12+$C$8*_xlfn.NORM.S.INV(RAND()))</f>
        <v/>
      </c>
    </row>
    <row r="4333">
      <c r="F4333">
        <f>F4332+1</f>
        <v/>
      </c>
      <c r="G4333" s="92">
        <f>EXP($C$12+$C$8*_xlfn.NORM.S.INV(RAND()))</f>
        <v/>
      </c>
    </row>
    <row r="4334">
      <c r="F4334">
        <f>F4333+1</f>
        <v/>
      </c>
      <c r="G4334" s="92">
        <f>EXP($C$12+$C$8*_xlfn.NORM.S.INV(RAND()))</f>
        <v/>
      </c>
    </row>
    <row r="4335">
      <c r="F4335">
        <f>F4334+1</f>
        <v/>
      </c>
      <c r="G4335" s="92">
        <f>EXP($C$12+$C$8*_xlfn.NORM.S.INV(RAND()))</f>
        <v/>
      </c>
    </row>
    <row r="4336">
      <c r="F4336">
        <f>F4335+1</f>
        <v/>
      </c>
      <c r="G4336" s="92">
        <f>EXP($C$12+$C$8*_xlfn.NORM.S.INV(RAND()))</f>
        <v/>
      </c>
    </row>
    <row r="4337">
      <c r="F4337">
        <f>F4336+1</f>
        <v/>
      </c>
      <c r="G4337" s="92">
        <f>EXP($C$12+$C$8*_xlfn.NORM.S.INV(RAND()))</f>
        <v/>
      </c>
    </row>
    <row r="4338">
      <c r="F4338">
        <f>F4337+1</f>
        <v/>
      </c>
      <c r="G4338" s="92">
        <f>EXP($C$12+$C$8*_xlfn.NORM.S.INV(RAND()))</f>
        <v/>
      </c>
    </row>
    <row r="4339">
      <c r="F4339">
        <f>F4338+1</f>
        <v/>
      </c>
      <c r="G4339" s="92">
        <f>EXP($C$12+$C$8*_xlfn.NORM.S.INV(RAND()))</f>
        <v/>
      </c>
    </row>
    <row r="4340">
      <c r="F4340">
        <f>F4339+1</f>
        <v/>
      </c>
      <c r="G4340" s="92">
        <f>EXP($C$12+$C$8*_xlfn.NORM.S.INV(RAND()))</f>
        <v/>
      </c>
    </row>
    <row r="4341">
      <c r="F4341">
        <f>F4340+1</f>
        <v/>
      </c>
      <c r="G4341" s="92">
        <f>EXP($C$12+$C$8*_xlfn.NORM.S.INV(RAND()))</f>
        <v/>
      </c>
    </row>
    <row r="4342">
      <c r="F4342">
        <f>F4341+1</f>
        <v/>
      </c>
      <c r="G4342" s="92">
        <f>EXP($C$12+$C$8*_xlfn.NORM.S.INV(RAND()))</f>
        <v/>
      </c>
    </row>
    <row r="4343">
      <c r="F4343">
        <f>F4342+1</f>
        <v/>
      </c>
      <c r="G4343" s="92">
        <f>EXP($C$12+$C$8*_xlfn.NORM.S.INV(RAND()))</f>
        <v/>
      </c>
    </row>
    <row r="4344">
      <c r="F4344">
        <f>F4343+1</f>
        <v/>
      </c>
      <c r="G4344" s="92">
        <f>EXP($C$12+$C$8*_xlfn.NORM.S.INV(RAND()))</f>
        <v/>
      </c>
    </row>
    <row r="4345">
      <c r="F4345">
        <f>F4344+1</f>
        <v/>
      </c>
      <c r="G4345" s="92">
        <f>EXP($C$12+$C$8*_xlfn.NORM.S.INV(RAND()))</f>
        <v/>
      </c>
    </row>
    <row r="4346">
      <c r="F4346">
        <f>F4345+1</f>
        <v/>
      </c>
      <c r="G4346" s="92">
        <f>EXP($C$12+$C$8*_xlfn.NORM.S.INV(RAND()))</f>
        <v/>
      </c>
    </row>
    <row r="4347">
      <c r="F4347">
        <f>F4346+1</f>
        <v/>
      </c>
      <c r="G4347" s="92">
        <f>EXP($C$12+$C$8*_xlfn.NORM.S.INV(RAND()))</f>
        <v/>
      </c>
    </row>
    <row r="4348">
      <c r="F4348">
        <f>F4347+1</f>
        <v/>
      </c>
      <c r="G4348" s="92">
        <f>EXP($C$12+$C$8*_xlfn.NORM.S.INV(RAND()))</f>
        <v/>
      </c>
    </row>
    <row r="4349">
      <c r="F4349">
        <f>F4348+1</f>
        <v/>
      </c>
      <c r="G4349" s="92">
        <f>EXP($C$12+$C$8*_xlfn.NORM.S.INV(RAND()))</f>
        <v/>
      </c>
    </row>
    <row r="4350">
      <c r="F4350">
        <f>F4349+1</f>
        <v/>
      </c>
      <c r="G4350" s="92">
        <f>EXP($C$12+$C$8*_xlfn.NORM.S.INV(RAND()))</f>
        <v/>
      </c>
    </row>
    <row r="4351">
      <c r="F4351">
        <f>F4350+1</f>
        <v/>
      </c>
      <c r="G4351" s="92">
        <f>EXP($C$12+$C$8*_xlfn.NORM.S.INV(RAND()))</f>
        <v/>
      </c>
    </row>
    <row r="4352">
      <c r="F4352">
        <f>F4351+1</f>
        <v/>
      </c>
      <c r="G4352" s="92">
        <f>EXP($C$12+$C$8*_xlfn.NORM.S.INV(RAND()))</f>
        <v/>
      </c>
    </row>
    <row r="4353">
      <c r="F4353">
        <f>F4352+1</f>
        <v/>
      </c>
      <c r="G4353" s="92">
        <f>EXP($C$12+$C$8*_xlfn.NORM.S.INV(RAND()))</f>
        <v/>
      </c>
    </row>
    <row r="4354">
      <c r="F4354">
        <f>F4353+1</f>
        <v/>
      </c>
      <c r="G4354" s="92">
        <f>EXP($C$12+$C$8*_xlfn.NORM.S.INV(RAND()))</f>
        <v/>
      </c>
    </row>
    <row r="4355">
      <c r="F4355">
        <f>F4354+1</f>
        <v/>
      </c>
      <c r="G4355" s="92">
        <f>EXP($C$12+$C$8*_xlfn.NORM.S.INV(RAND()))</f>
        <v/>
      </c>
    </row>
    <row r="4356">
      <c r="F4356">
        <f>F4355+1</f>
        <v/>
      </c>
      <c r="G4356" s="92">
        <f>EXP($C$12+$C$8*_xlfn.NORM.S.INV(RAND()))</f>
        <v/>
      </c>
    </row>
    <row r="4357">
      <c r="F4357">
        <f>F4356+1</f>
        <v/>
      </c>
      <c r="G4357" s="92">
        <f>EXP($C$12+$C$8*_xlfn.NORM.S.INV(RAND()))</f>
        <v/>
      </c>
    </row>
    <row r="4358">
      <c r="F4358">
        <f>F4357+1</f>
        <v/>
      </c>
      <c r="G4358" s="92">
        <f>EXP($C$12+$C$8*_xlfn.NORM.S.INV(RAND()))</f>
        <v/>
      </c>
    </row>
    <row r="4359">
      <c r="F4359">
        <f>F4358+1</f>
        <v/>
      </c>
      <c r="G4359" s="92">
        <f>EXP($C$12+$C$8*_xlfn.NORM.S.INV(RAND()))</f>
        <v/>
      </c>
    </row>
    <row r="4360">
      <c r="F4360">
        <f>F4359+1</f>
        <v/>
      </c>
      <c r="G4360" s="92">
        <f>EXP($C$12+$C$8*_xlfn.NORM.S.INV(RAND()))</f>
        <v/>
      </c>
    </row>
    <row r="4361">
      <c r="F4361">
        <f>F4360+1</f>
        <v/>
      </c>
      <c r="G4361" s="92">
        <f>EXP($C$12+$C$8*_xlfn.NORM.S.INV(RAND()))</f>
        <v/>
      </c>
    </row>
    <row r="4362">
      <c r="F4362">
        <f>F4361+1</f>
        <v/>
      </c>
      <c r="G4362" s="92">
        <f>EXP($C$12+$C$8*_xlfn.NORM.S.INV(RAND()))</f>
        <v/>
      </c>
    </row>
    <row r="4363">
      <c r="F4363">
        <f>F4362+1</f>
        <v/>
      </c>
      <c r="G4363" s="92">
        <f>EXP($C$12+$C$8*_xlfn.NORM.S.INV(RAND()))</f>
        <v/>
      </c>
    </row>
    <row r="4364">
      <c r="F4364">
        <f>F4363+1</f>
        <v/>
      </c>
      <c r="G4364" s="92">
        <f>EXP($C$12+$C$8*_xlfn.NORM.S.INV(RAND()))</f>
        <v/>
      </c>
    </row>
    <row r="4365">
      <c r="F4365">
        <f>F4364+1</f>
        <v/>
      </c>
      <c r="G4365" s="92">
        <f>EXP($C$12+$C$8*_xlfn.NORM.S.INV(RAND()))</f>
        <v/>
      </c>
    </row>
    <row r="4366">
      <c r="F4366">
        <f>F4365+1</f>
        <v/>
      </c>
      <c r="G4366" s="92">
        <f>EXP($C$12+$C$8*_xlfn.NORM.S.INV(RAND()))</f>
        <v/>
      </c>
    </row>
    <row r="4367">
      <c r="F4367">
        <f>F4366+1</f>
        <v/>
      </c>
      <c r="G4367" s="92">
        <f>EXP($C$12+$C$8*_xlfn.NORM.S.INV(RAND()))</f>
        <v/>
      </c>
    </row>
    <row r="4368">
      <c r="F4368">
        <f>F4367+1</f>
        <v/>
      </c>
      <c r="G4368" s="92">
        <f>EXP($C$12+$C$8*_xlfn.NORM.S.INV(RAND()))</f>
        <v/>
      </c>
    </row>
    <row r="4369">
      <c r="F4369">
        <f>F4368+1</f>
        <v/>
      </c>
      <c r="G4369" s="92">
        <f>EXP($C$12+$C$8*_xlfn.NORM.S.INV(RAND()))</f>
        <v/>
      </c>
    </row>
    <row r="4370">
      <c r="F4370">
        <f>F4369+1</f>
        <v/>
      </c>
      <c r="G4370" s="92">
        <f>EXP($C$12+$C$8*_xlfn.NORM.S.INV(RAND()))</f>
        <v/>
      </c>
    </row>
    <row r="4371">
      <c r="F4371">
        <f>F4370+1</f>
        <v/>
      </c>
      <c r="G4371" s="92">
        <f>EXP($C$12+$C$8*_xlfn.NORM.S.INV(RAND()))</f>
        <v/>
      </c>
    </row>
    <row r="4372">
      <c r="F4372">
        <f>F4371+1</f>
        <v/>
      </c>
      <c r="G4372" s="92">
        <f>EXP($C$12+$C$8*_xlfn.NORM.S.INV(RAND()))</f>
        <v/>
      </c>
    </row>
    <row r="4373">
      <c r="F4373">
        <f>F4372+1</f>
        <v/>
      </c>
      <c r="G4373" s="92">
        <f>EXP($C$12+$C$8*_xlfn.NORM.S.INV(RAND()))</f>
        <v/>
      </c>
    </row>
    <row r="4374">
      <c r="F4374">
        <f>F4373+1</f>
        <v/>
      </c>
      <c r="G4374" s="92">
        <f>EXP($C$12+$C$8*_xlfn.NORM.S.INV(RAND()))</f>
        <v/>
      </c>
    </row>
    <row r="4375">
      <c r="F4375">
        <f>F4374+1</f>
        <v/>
      </c>
      <c r="G4375" s="92">
        <f>EXP($C$12+$C$8*_xlfn.NORM.S.INV(RAND()))</f>
        <v/>
      </c>
    </row>
    <row r="4376">
      <c r="F4376">
        <f>F4375+1</f>
        <v/>
      </c>
      <c r="G4376" s="92">
        <f>EXP($C$12+$C$8*_xlfn.NORM.S.INV(RAND()))</f>
        <v/>
      </c>
    </row>
    <row r="4377">
      <c r="F4377">
        <f>F4376+1</f>
        <v/>
      </c>
      <c r="G4377" s="92">
        <f>EXP($C$12+$C$8*_xlfn.NORM.S.INV(RAND()))</f>
        <v/>
      </c>
    </row>
    <row r="4378">
      <c r="F4378">
        <f>F4377+1</f>
        <v/>
      </c>
      <c r="G4378" s="92">
        <f>EXP($C$12+$C$8*_xlfn.NORM.S.INV(RAND()))</f>
        <v/>
      </c>
    </row>
    <row r="4379">
      <c r="F4379">
        <f>F4378+1</f>
        <v/>
      </c>
      <c r="G4379" s="92">
        <f>EXP($C$12+$C$8*_xlfn.NORM.S.INV(RAND()))</f>
        <v/>
      </c>
    </row>
    <row r="4380">
      <c r="F4380">
        <f>F4379+1</f>
        <v/>
      </c>
      <c r="G4380" s="92">
        <f>EXP($C$12+$C$8*_xlfn.NORM.S.INV(RAND()))</f>
        <v/>
      </c>
    </row>
    <row r="4381">
      <c r="F4381">
        <f>F4380+1</f>
        <v/>
      </c>
      <c r="G4381" s="92">
        <f>EXP($C$12+$C$8*_xlfn.NORM.S.INV(RAND()))</f>
        <v/>
      </c>
    </row>
    <row r="4382">
      <c r="F4382">
        <f>F4381+1</f>
        <v/>
      </c>
      <c r="G4382" s="92">
        <f>EXP($C$12+$C$8*_xlfn.NORM.S.INV(RAND()))</f>
        <v/>
      </c>
    </row>
    <row r="4383">
      <c r="F4383">
        <f>F4382+1</f>
        <v/>
      </c>
      <c r="G4383" s="92">
        <f>EXP($C$12+$C$8*_xlfn.NORM.S.INV(RAND()))</f>
        <v/>
      </c>
    </row>
    <row r="4384">
      <c r="F4384">
        <f>F4383+1</f>
        <v/>
      </c>
      <c r="G4384" s="92">
        <f>EXP($C$12+$C$8*_xlfn.NORM.S.INV(RAND()))</f>
        <v/>
      </c>
    </row>
    <row r="4385">
      <c r="F4385">
        <f>F4384+1</f>
        <v/>
      </c>
      <c r="G4385" s="92">
        <f>EXP($C$12+$C$8*_xlfn.NORM.S.INV(RAND()))</f>
        <v/>
      </c>
    </row>
    <row r="4386">
      <c r="F4386">
        <f>F4385+1</f>
        <v/>
      </c>
      <c r="G4386" s="92">
        <f>EXP($C$12+$C$8*_xlfn.NORM.S.INV(RAND()))</f>
        <v/>
      </c>
    </row>
    <row r="4387">
      <c r="F4387">
        <f>F4386+1</f>
        <v/>
      </c>
      <c r="G4387" s="92">
        <f>EXP($C$12+$C$8*_xlfn.NORM.S.INV(RAND()))</f>
        <v/>
      </c>
    </row>
    <row r="4388">
      <c r="F4388">
        <f>F4387+1</f>
        <v/>
      </c>
      <c r="G4388" s="92">
        <f>EXP($C$12+$C$8*_xlfn.NORM.S.INV(RAND()))</f>
        <v/>
      </c>
    </row>
    <row r="4389">
      <c r="F4389">
        <f>F4388+1</f>
        <v/>
      </c>
      <c r="G4389" s="92">
        <f>EXP($C$12+$C$8*_xlfn.NORM.S.INV(RAND()))</f>
        <v/>
      </c>
    </row>
    <row r="4390">
      <c r="F4390">
        <f>F4389+1</f>
        <v/>
      </c>
      <c r="G4390" s="92">
        <f>EXP($C$12+$C$8*_xlfn.NORM.S.INV(RAND()))</f>
        <v/>
      </c>
    </row>
    <row r="4391">
      <c r="F4391">
        <f>F4390+1</f>
        <v/>
      </c>
      <c r="G4391" s="92">
        <f>EXP($C$12+$C$8*_xlfn.NORM.S.INV(RAND()))</f>
        <v/>
      </c>
    </row>
    <row r="4392">
      <c r="F4392">
        <f>F4391+1</f>
        <v/>
      </c>
      <c r="G4392" s="92">
        <f>EXP($C$12+$C$8*_xlfn.NORM.S.INV(RAND()))</f>
        <v/>
      </c>
    </row>
    <row r="4393">
      <c r="F4393">
        <f>F4392+1</f>
        <v/>
      </c>
      <c r="G4393" s="92">
        <f>EXP($C$12+$C$8*_xlfn.NORM.S.INV(RAND()))</f>
        <v/>
      </c>
    </row>
    <row r="4394">
      <c r="F4394">
        <f>F4393+1</f>
        <v/>
      </c>
      <c r="G4394" s="92">
        <f>EXP($C$12+$C$8*_xlfn.NORM.S.INV(RAND()))</f>
        <v/>
      </c>
    </row>
    <row r="4395">
      <c r="F4395">
        <f>F4394+1</f>
        <v/>
      </c>
      <c r="G4395" s="92">
        <f>EXP($C$12+$C$8*_xlfn.NORM.S.INV(RAND()))</f>
        <v/>
      </c>
    </row>
    <row r="4396">
      <c r="F4396">
        <f>F4395+1</f>
        <v/>
      </c>
      <c r="G4396" s="92">
        <f>EXP($C$12+$C$8*_xlfn.NORM.S.INV(RAND()))</f>
        <v/>
      </c>
    </row>
    <row r="4397">
      <c r="F4397">
        <f>F4396+1</f>
        <v/>
      </c>
      <c r="G4397" s="92">
        <f>EXP($C$12+$C$8*_xlfn.NORM.S.INV(RAND()))</f>
        <v/>
      </c>
    </row>
    <row r="4398">
      <c r="F4398">
        <f>F4397+1</f>
        <v/>
      </c>
      <c r="G4398" s="92">
        <f>EXP($C$12+$C$8*_xlfn.NORM.S.INV(RAND()))</f>
        <v/>
      </c>
    </row>
    <row r="4399">
      <c r="F4399">
        <f>F4398+1</f>
        <v/>
      </c>
      <c r="G4399" s="92">
        <f>EXP($C$12+$C$8*_xlfn.NORM.S.INV(RAND()))</f>
        <v/>
      </c>
    </row>
    <row r="4400">
      <c r="F4400">
        <f>F4399+1</f>
        <v/>
      </c>
      <c r="G4400" s="92">
        <f>EXP($C$12+$C$8*_xlfn.NORM.S.INV(RAND()))</f>
        <v/>
      </c>
    </row>
    <row r="4401">
      <c r="F4401">
        <f>F4400+1</f>
        <v/>
      </c>
      <c r="G4401" s="92">
        <f>EXP($C$12+$C$8*_xlfn.NORM.S.INV(RAND()))</f>
        <v/>
      </c>
    </row>
    <row r="4402">
      <c r="F4402">
        <f>F4401+1</f>
        <v/>
      </c>
      <c r="G4402" s="92">
        <f>EXP($C$12+$C$8*_xlfn.NORM.S.INV(RAND()))</f>
        <v/>
      </c>
    </row>
    <row r="4403">
      <c r="F4403">
        <f>F4402+1</f>
        <v/>
      </c>
      <c r="G4403" s="92">
        <f>EXP($C$12+$C$8*_xlfn.NORM.S.INV(RAND()))</f>
        <v/>
      </c>
    </row>
    <row r="4404">
      <c r="F4404">
        <f>F4403+1</f>
        <v/>
      </c>
      <c r="G4404" s="92">
        <f>EXP($C$12+$C$8*_xlfn.NORM.S.INV(RAND()))</f>
        <v/>
      </c>
    </row>
    <row r="4405">
      <c r="F4405">
        <f>F4404+1</f>
        <v/>
      </c>
      <c r="G4405" s="92">
        <f>EXP($C$12+$C$8*_xlfn.NORM.S.INV(RAND()))</f>
        <v/>
      </c>
    </row>
    <row r="4406">
      <c r="F4406">
        <f>F4405+1</f>
        <v/>
      </c>
      <c r="G4406" s="92">
        <f>EXP($C$12+$C$8*_xlfn.NORM.S.INV(RAND()))</f>
        <v/>
      </c>
    </row>
    <row r="4407">
      <c r="F4407">
        <f>F4406+1</f>
        <v/>
      </c>
      <c r="G4407" s="92">
        <f>EXP($C$12+$C$8*_xlfn.NORM.S.INV(RAND()))</f>
        <v/>
      </c>
    </row>
    <row r="4408">
      <c r="F4408">
        <f>F4407+1</f>
        <v/>
      </c>
      <c r="G4408" s="92">
        <f>EXP($C$12+$C$8*_xlfn.NORM.S.INV(RAND()))</f>
        <v/>
      </c>
    </row>
    <row r="4409">
      <c r="F4409">
        <f>F4408+1</f>
        <v/>
      </c>
      <c r="G4409" s="92">
        <f>EXP($C$12+$C$8*_xlfn.NORM.S.INV(RAND()))</f>
        <v/>
      </c>
    </row>
    <row r="4410">
      <c r="F4410">
        <f>F4409+1</f>
        <v/>
      </c>
      <c r="G4410" s="92">
        <f>EXP($C$12+$C$8*_xlfn.NORM.S.INV(RAND()))</f>
        <v/>
      </c>
    </row>
    <row r="4411">
      <c r="F4411">
        <f>F4410+1</f>
        <v/>
      </c>
      <c r="G4411" s="92">
        <f>EXP($C$12+$C$8*_xlfn.NORM.S.INV(RAND()))</f>
        <v/>
      </c>
    </row>
    <row r="4412">
      <c r="F4412">
        <f>F4411+1</f>
        <v/>
      </c>
      <c r="G4412" s="92">
        <f>EXP($C$12+$C$8*_xlfn.NORM.S.INV(RAND()))</f>
        <v/>
      </c>
    </row>
    <row r="4413">
      <c r="F4413">
        <f>F4412+1</f>
        <v/>
      </c>
      <c r="G4413" s="92">
        <f>EXP($C$12+$C$8*_xlfn.NORM.S.INV(RAND()))</f>
        <v/>
      </c>
    </row>
    <row r="4414">
      <c r="F4414">
        <f>F4413+1</f>
        <v/>
      </c>
      <c r="G4414" s="92">
        <f>EXP($C$12+$C$8*_xlfn.NORM.S.INV(RAND()))</f>
        <v/>
      </c>
    </row>
    <row r="4415">
      <c r="F4415">
        <f>F4414+1</f>
        <v/>
      </c>
      <c r="G4415" s="92">
        <f>EXP($C$12+$C$8*_xlfn.NORM.S.INV(RAND()))</f>
        <v/>
      </c>
    </row>
    <row r="4416">
      <c r="F4416">
        <f>F4415+1</f>
        <v/>
      </c>
      <c r="G4416" s="92">
        <f>EXP($C$12+$C$8*_xlfn.NORM.S.INV(RAND()))</f>
        <v/>
      </c>
    </row>
    <row r="4417">
      <c r="F4417">
        <f>F4416+1</f>
        <v/>
      </c>
      <c r="G4417" s="92">
        <f>EXP($C$12+$C$8*_xlfn.NORM.S.INV(RAND()))</f>
        <v/>
      </c>
    </row>
    <row r="4418">
      <c r="F4418">
        <f>F4417+1</f>
        <v/>
      </c>
      <c r="G4418" s="92">
        <f>EXP($C$12+$C$8*_xlfn.NORM.S.INV(RAND()))</f>
        <v/>
      </c>
    </row>
    <row r="4419">
      <c r="F4419">
        <f>F4418+1</f>
        <v/>
      </c>
      <c r="G4419" s="92">
        <f>EXP($C$12+$C$8*_xlfn.NORM.S.INV(RAND()))</f>
        <v/>
      </c>
    </row>
    <row r="4420">
      <c r="F4420">
        <f>F4419+1</f>
        <v/>
      </c>
      <c r="G4420" s="92">
        <f>EXP($C$12+$C$8*_xlfn.NORM.S.INV(RAND()))</f>
        <v/>
      </c>
    </row>
    <row r="4421">
      <c r="F4421">
        <f>F4420+1</f>
        <v/>
      </c>
      <c r="G4421" s="92">
        <f>EXP($C$12+$C$8*_xlfn.NORM.S.INV(RAND()))</f>
        <v/>
      </c>
    </row>
    <row r="4422">
      <c r="F4422">
        <f>F4421+1</f>
        <v/>
      </c>
      <c r="G4422" s="92">
        <f>EXP($C$12+$C$8*_xlfn.NORM.S.INV(RAND()))</f>
        <v/>
      </c>
    </row>
    <row r="4423">
      <c r="F4423">
        <f>F4422+1</f>
        <v/>
      </c>
      <c r="G4423" s="92">
        <f>EXP($C$12+$C$8*_xlfn.NORM.S.INV(RAND()))</f>
        <v/>
      </c>
    </row>
    <row r="4424">
      <c r="F4424">
        <f>F4423+1</f>
        <v/>
      </c>
      <c r="G4424" s="92">
        <f>EXP($C$12+$C$8*_xlfn.NORM.S.INV(RAND()))</f>
        <v/>
      </c>
    </row>
    <row r="4425">
      <c r="F4425">
        <f>F4424+1</f>
        <v/>
      </c>
      <c r="G4425" s="92">
        <f>EXP($C$12+$C$8*_xlfn.NORM.S.INV(RAND()))</f>
        <v/>
      </c>
    </row>
    <row r="4426">
      <c r="F4426">
        <f>F4425+1</f>
        <v/>
      </c>
      <c r="G4426" s="92">
        <f>EXP($C$12+$C$8*_xlfn.NORM.S.INV(RAND()))</f>
        <v/>
      </c>
    </row>
    <row r="4427">
      <c r="F4427">
        <f>F4426+1</f>
        <v/>
      </c>
      <c r="G4427" s="92">
        <f>EXP($C$12+$C$8*_xlfn.NORM.S.INV(RAND()))</f>
        <v/>
      </c>
    </row>
    <row r="4428">
      <c r="F4428">
        <f>F4427+1</f>
        <v/>
      </c>
      <c r="G4428" s="92">
        <f>EXP($C$12+$C$8*_xlfn.NORM.S.INV(RAND()))</f>
        <v/>
      </c>
    </row>
    <row r="4429">
      <c r="F4429">
        <f>F4428+1</f>
        <v/>
      </c>
      <c r="G4429" s="92">
        <f>EXP($C$12+$C$8*_xlfn.NORM.S.INV(RAND()))</f>
        <v/>
      </c>
    </row>
    <row r="4430">
      <c r="F4430">
        <f>F4429+1</f>
        <v/>
      </c>
      <c r="G4430" s="92">
        <f>EXP($C$12+$C$8*_xlfn.NORM.S.INV(RAND()))</f>
        <v/>
      </c>
    </row>
    <row r="4431">
      <c r="F4431">
        <f>F4430+1</f>
        <v/>
      </c>
      <c r="G4431" s="92">
        <f>EXP($C$12+$C$8*_xlfn.NORM.S.INV(RAND()))</f>
        <v/>
      </c>
    </row>
    <row r="4432">
      <c r="F4432">
        <f>F4431+1</f>
        <v/>
      </c>
      <c r="G4432" s="92">
        <f>EXP($C$12+$C$8*_xlfn.NORM.S.INV(RAND()))</f>
        <v/>
      </c>
    </row>
    <row r="4433">
      <c r="F4433">
        <f>F4432+1</f>
        <v/>
      </c>
      <c r="G4433" s="92">
        <f>EXP($C$12+$C$8*_xlfn.NORM.S.INV(RAND()))</f>
        <v/>
      </c>
    </row>
    <row r="4434">
      <c r="F4434">
        <f>F4433+1</f>
        <v/>
      </c>
      <c r="G4434" s="92">
        <f>EXP($C$12+$C$8*_xlfn.NORM.S.INV(RAND()))</f>
        <v/>
      </c>
    </row>
    <row r="4435">
      <c r="F4435">
        <f>F4434+1</f>
        <v/>
      </c>
      <c r="G4435" s="92">
        <f>EXP($C$12+$C$8*_xlfn.NORM.S.INV(RAND()))</f>
        <v/>
      </c>
    </row>
    <row r="4436">
      <c r="F4436">
        <f>F4435+1</f>
        <v/>
      </c>
      <c r="G4436" s="92">
        <f>EXP($C$12+$C$8*_xlfn.NORM.S.INV(RAND()))</f>
        <v/>
      </c>
    </row>
    <row r="4437">
      <c r="F4437">
        <f>F4436+1</f>
        <v/>
      </c>
      <c r="G4437" s="92">
        <f>EXP($C$12+$C$8*_xlfn.NORM.S.INV(RAND()))</f>
        <v/>
      </c>
    </row>
    <row r="4438">
      <c r="F4438">
        <f>F4437+1</f>
        <v/>
      </c>
      <c r="G4438" s="92">
        <f>EXP($C$12+$C$8*_xlfn.NORM.S.INV(RAND()))</f>
        <v/>
      </c>
    </row>
    <row r="4439">
      <c r="F4439">
        <f>F4438+1</f>
        <v/>
      </c>
      <c r="G4439" s="92">
        <f>EXP($C$12+$C$8*_xlfn.NORM.S.INV(RAND()))</f>
        <v/>
      </c>
    </row>
    <row r="4440">
      <c r="F4440">
        <f>F4439+1</f>
        <v/>
      </c>
      <c r="G4440" s="92">
        <f>EXP($C$12+$C$8*_xlfn.NORM.S.INV(RAND()))</f>
        <v/>
      </c>
    </row>
    <row r="4441">
      <c r="F4441">
        <f>F4440+1</f>
        <v/>
      </c>
      <c r="G4441" s="92">
        <f>EXP($C$12+$C$8*_xlfn.NORM.S.INV(RAND()))</f>
        <v/>
      </c>
    </row>
    <row r="4442">
      <c r="F4442">
        <f>F4441+1</f>
        <v/>
      </c>
      <c r="G4442" s="92">
        <f>EXP($C$12+$C$8*_xlfn.NORM.S.INV(RAND()))</f>
        <v/>
      </c>
    </row>
    <row r="4443">
      <c r="F4443">
        <f>F4442+1</f>
        <v/>
      </c>
      <c r="G4443" s="92">
        <f>EXP($C$12+$C$8*_xlfn.NORM.S.INV(RAND()))</f>
        <v/>
      </c>
    </row>
    <row r="4444">
      <c r="F4444">
        <f>F4443+1</f>
        <v/>
      </c>
      <c r="G4444" s="92">
        <f>EXP($C$12+$C$8*_xlfn.NORM.S.INV(RAND()))</f>
        <v/>
      </c>
    </row>
    <row r="4445">
      <c r="F4445">
        <f>F4444+1</f>
        <v/>
      </c>
      <c r="G4445" s="92">
        <f>EXP($C$12+$C$8*_xlfn.NORM.S.INV(RAND()))</f>
        <v/>
      </c>
    </row>
    <row r="4446">
      <c r="F4446">
        <f>F4445+1</f>
        <v/>
      </c>
      <c r="G4446" s="92">
        <f>EXP($C$12+$C$8*_xlfn.NORM.S.INV(RAND()))</f>
        <v/>
      </c>
    </row>
    <row r="4447">
      <c r="F4447">
        <f>F4446+1</f>
        <v/>
      </c>
      <c r="G4447" s="92">
        <f>EXP($C$12+$C$8*_xlfn.NORM.S.INV(RAND()))</f>
        <v/>
      </c>
    </row>
    <row r="4448">
      <c r="F4448">
        <f>F4447+1</f>
        <v/>
      </c>
      <c r="G4448" s="92">
        <f>EXP($C$12+$C$8*_xlfn.NORM.S.INV(RAND()))</f>
        <v/>
      </c>
    </row>
    <row r="4449">
      <c r="F4449">
        <f>F4448+1</f>
        <v/>
      </c>
      <c r="G4449" s="92">
        <f>EXP($C$12+$C$8*_xlfn.NORM.S.INV(RAND()))</f>
        <v/>
      </c>
    </row>
    <row r="4450">
      <c r="F4450">
        <f>F4449+1</f>
        <v/>
      </c>
      <c r="G4450" s="92">
        <f>EXP($C$12+$C$8*_xlfn.NORM.S.INV(RAND()))</f>
        <v/>
      </c>
    </row>
    <row r="4451">
      <c r="F4451">
        <f>F4450+1</f>
        <v/>
      </c>
      <c r="G4451" s="92">
        <f>EXP($C$12+$C$8*_xlfn.NORM.S.INV(RAND()))</f>
        <v/>
      </c>
    </row>
    <row r="4452">
      <c r="F4452">
        <f>F4451+1</f>
        <v/>
      </c>
      <c r="G4452" s="92">
        <f>EXP($C$12+$C$8*_xlfn.NORM.S.INV(RAND()))</f>
        <v/>
      </c>
    </row>
    <row r="4453">
      <c r="F4453">
        <f>F4452+1</f>
        <v/>
      </c>
      <c r="G4453" s="92">
        <f>EXP($C$12+$C$8*_xlfn.NORM.S.INV(RAND()))</f>
        <v/>
      </c>
    </row>
    <row r="4454">
      <c r="F4454">
        <f>F4453+1</f>
        <v/>
      </c>
      <c r="G4454" s="92">
        <f>EXP($C$12+$C$8*_xlfn.NORM.S.INV(RAND()))</f>
        <v/>
      </c>
    </row>
    <row r="4455">
      <c r="F4455">
        <f>F4454+1</f>
        <v/>
      </c>
      <c r="G4455" s="92">
        <f>EXP($C$12+$C$8*_xlfn.NORM.S.INV(RAND()))</f>
        <v/>
      </c>
    </row>
    <row r="4456">
      <c r="F4456">
        <f>F4455+1</f>
        <v/>
      </c>
      <c r="G4456" s="92">
        <f>EXP($C$12+$C$8*_xlfn.NORM.S.INV(RAND()))</f>
        <v/>
      </c>
    </row>
    <row r="4457">
      <c r="F4457">
        <f>F4456+1</f>
        <v/>
      </c>
      <c r="G4457" s="92">
        <f>EXP($C$12+$C$8*_xlfn.NORM.S.INV(RAND()))</f>
        <v/>
      </c>
    </row>
    <row r="4458">
      <c r="F4458">
        <f>F4457+1</f>
        <v/>
      </c>
      <c r="G4458" s="92">
        <f>EXP($C$12+$C$8*_xlfn.NORM.S.INV(RAND()))</f>
        <v/>
      </c>
    </row>
    <row r="4459">
      <c r="F4459">
        <f>F4458+1</f>
        <v/>
      </c>
      <c r="G4459" s="92">
        <f>EXP($C$12+$C$8*_xlfn.NORM.S.INV(RAND()))</f>
        <v/>
      </c>
    </row>
    <row r="4460">
      <c r="F4460">
        <f>F4459+1</f>
        <v/>
      </c>
      <c r="G4460" s="92">
        <f>EXP($C$12+$C$8*_xlfn.NORM.S.INV(RAND()))</f>
        <v/>
      </c>
    </row>
    <row r="4461">
      <c r="F4461">
        <f>F4460+1</f>
        <v/>
      </c>
      <c r="G4461" s="92">
        <f>EXP($C$12+$C$8*_xlfn.NORM.S.INV(RAND()))</f>
        <v/>
      </c>
    </row>
    <row r="4462">
      <c r="F4462">
        <f>F4461+1</f>
        <v/>
      </c>
      <c r="G4462" s="92">
        <f>EXP($C$12+$C$8*_xlfn.NORM.S.INV(RAND()))</f>
        <v/>
      </c>
    </row>
    <row r="4463">
      <c r="F4463">
        <f>F4462+1</f>
        <v/>
      </c>
      <c r="G4463" s="92">
        <f>EXP($C$12+$C$8*_xlfn.NORM.S.INV(RAND()))</f>
        <v/>
      </c>
    </row>
    <row r="4464">
      <c r="F4464">
        <f>F4463+1</f>
        <v/>
      </c>
      <c r="G4464" s="92">
        <f>EXP($C$12+$C$8*_xlfn.NORM.S.INV(RAND()))</f>
        <v/>
      </c>
    </row>
    <row r="4465">
      <c r="F4465">
        <f>F4464+1</f>
        <v/>
      </c>
      <c r="G4465" s="92">
        <f>EXP($C$12+$C$8*_xlfn.NORM.S.INV(RAND()))</f>
        <v/>
      </c>
    </row>
    <row r="4466">
      <c r="F4466">
        <f>F4465+1</f>
        <v/>
      </c>
      <c r="G4466" s="92">
        <f>EXP($C$12+$C$8*_xlfn.NORM.S.INV(RAND()))</f>
        <v/>
      </c>
    </row>
    <row r="4467">
      <c r="F4467">
        <f>F4466+1</f>
        <v/>
      </c>
      <c r="G4467" s="92">
        <f>EXP($C$12+$C$8*_xlfn.NORM.S.INV(RAND()))</f>
        <v/>
      </c>
    </row>
    <row r="4468">
      <c r="F4468">
        <f>F4467+1</f>
        <v/>
      </c>
      <c r="G4468" s="92">
        <f>EXP($C$12+$C$8*_xlfn.NORM.S.INV(RAND()))</f>
        <v/>
      </c>
    </row>
    <row r="4469">
      <c r="F4469">
        <f>F4468+1</f>
        <v/>
      </c>
      <c r="G4469" s="92">
        <f>EXP($C$12+$C$8*_xlfn.NORM.S.INV(RAND()))</f>
        <v/>
      </c>
    </row>
    <row r="4470">
      <c r="F4470">
        <f>F4469+1</f>
        <v/>
      </c>
      <c r="G4470" s="92">
        <f>EXP($C$12+$C$8*_xlfn.NORM.S.INV(RAND()))</f>
        <v/>
      </c>
    </row>
    <row r="4471">
      <c r="F4471">
        <f>F4470+1</f>
        <v/>
      </c>
      <c r="G4471" s="92">
        <f>EXP($C$12+$C$8*_xlfn.NORM.S.INV(RAND()))</f>
        <v/>
      </c>
    </row>
    <row r="4472">
      <c r="F4472">
        <f>F4471+1</f>
        <v/>
      </c>
      <c r="G4472" s="92">
        <f>EXP($C$12+$C$8*_xlfn.NORM.S.INV(RAND()))</f>
        <v/>
      </c>
    </row>
    <row r="4473">
      <c r="F4473">
        <f>F4472+1</f>
        <v/>
      </c>
      <c r="G4473" s="92">
        <f>EXP($C$12+$C$8*_xlfn.NORM.S.INV(RAND()))</f>
        <v/>
      </c>
    </row>
    <row r="4474">
      <c r="F4474">
        <f>F4473+1</f>
        <v/>
      </c>
      <c r="G4474" s="92">
        <f>EXP($C$12+$C$8*_xlfn.NORM.S.INV(RAND()))</f>
        <v/>
      </c>
    </row>
    <row r="4475">
      <c r="F4475">
        <f>F4474+1</f>
        <v/>
      </c>
      <c r="G4475" s="92">
        <f>EXP($C$12+$C$8*_xlfn.NORM.S.INV(RAND()))</f>
        <v/>
      </c>
    </row>
    <row r="4476">
      <c r="F4476">
        <f>F4475+1</f>
        <v/>
      </c>
      <c r="G4476" s="92">
        <f>EXP($C$12+$C$8*_xlfn.NORM.S.INV(RAND()))</f>
        <v/>
      </c>
    </row>
    <row r="4477">
      <c r="F4477">
        <f>F4476+1</f>
        <v/>
      </c>
      <c r="G4477" s="92">
        <f>EXP($C$12+$C$8*_xlfn.NORM.S.INV(RAND()))</f>
        <v/>
      </c>
    </row>
    <row r="4478">
      <c r="F4478">
        <f>F4477+1</f>
        <v/>
      </c>
      <c r="G4478" s="92">
        <f>EXP($C$12+$C$8*_xlfn.NORM.S.INV(RAND()))</f>
        <v/>
      </c>
    </row>
    <row r="4479">
      <c r="F4479">
        <f>F4478+1</f>
        <v/>
      </c>
      <c r="G4479" s="92">
        <f>EXP($C$12+$C$8*_xlfn.NORM.S.INV(RAND()))</f>
        <v/>
      </c>
    </row>
    <row r="4480">
      <c r="F4480">
        <f>F4479+1</f>
        <v/>
      </c>
      <c r="G4480" s="92">
        <f>EXP($C$12+$C$8*_xlfn.NORM.S.INV(RAND()))</f>
        <v/>
      </c>
    </row>
    <row r="4481">
      <c r="F4481">
        <f>F4480+1</f>
        <v/>
      </c>
      <c r="G4481" s="92">
        <f>EXP($C$12+$C$8*_xlfn.NORM.S.INV(RAND()))</f>
        <v/>
      </c>
    </row>
    <row r="4482">
      <c r="F4482">
        <f>F4481+1</f>
        <v/>
      </c>
      <c r="G4482" s="92">
        <f>EXP($C$12+$C$8*_xlfn.NORM.S.INV(RAND()))</f>
        <v/>
      </c>
    </row>
    <row r="4483">
      <c r="F4483">
        <f>F4482+1</f>
        <v/>
      </c>
      <c r="G4483" s="92">
        <f>EXP($C$12+$C$8*_xlfn.NORM.S.INV(RAND()))</f>
        <v/>
      </c>
    </row>
    <row r="4484">
      <c r="F4484">
        <f>F4483+1</f>
        <v/>
      </c>
      <c r="G4484" s="92">
        <f>EXP($C$12+$C$8*_xlfn.NORM.S.INV(RAND()))</f>
        <v/>
      </c>
    </row>
    <row r="4485">
      <c r="F4485">
        <f>F4484+1</f>
        <v/>
      </c>
      <c r="G4485" s="92">
        <f>EXP($C$12+$C$8*_xlfn.NORM.S.INV(RAND()))</f>
        <v/>
      </c>
    </row>
    <row r="4486">
      <c r="F4486">
        <f>F4485+1</f>
        <v/>
      </c>
      <c r="G4486" s="92">
        <f>EXP($C$12+$C$8*_xlfn.NORM.S.INV(RAND()))</f>
        <v/>
      </c>
    </row>
    <row r="4487">
      <c r="F4487">
        <f>F4486+1</f>
        <v/>
      </c>
      <c r="G4487" s="92">
        <f>EXP($C$12+$C$8*_xlfn.NORM.S.INV(RAND()))</f>
        <v/>
      </c>
    </row>
    <row r="4488">
      <c r="F4488">
        <f>F4487+1</f>
        <v/>
      </c>
      <c r="G4488" s="92">
        <f>EXP($C$12+$C$8*_xlfn.NORM.S.INV(RAND()))</f>
        <v/>
      </c>
    </row>
    <row r="4489">
      <c r="F4489">
        <f>F4488+1</f>
        <v/>
      </c>
      <c r="G4489" s="92">
        <f>EXP($C$12+$C$8*_xlfn.NORM.S.INV(RAND()))</f>
        <v/>
      </c>
    </row>
    <row r="4490">
      <c r="F4490">
        <f>F4489+1</f>
        <v/>
      </c>
      <c r="G4490" s="92">
        <f>EXP($C$12+$C$8*_xlfn.NORM.S.INV(RAND()))</f>
        <v/>
      </c>
    </row>
    <row r="4491">
      <c r="F4491">
        <f>F4490+1</f>
        <v/>
      </c>
      <c r="G4491" s="92">
        <f>EXP($C$12+$C$8*_xlfn.NORM.S.INV(RAND()))</f>
        <v/>
      </c>
    </row>
    <row r="4492">
      <c r="F4492">
        <f>F4491+1</f>
        <v/>
      </c>
      <c r="G4492" s="92">
        <f>EXP($C$12+$C$8*_xlfn.NORM.S.INV(RAND()))</f>
        <v/>
      </c>
    </row>
    <row r="4493">
      <c r="F4493">
        <f>F4492+1</f>
        <v/>
      </c>
      <c r="G4493" s="92">
        <f>EXP($C$12+$C$8*_xlfn.NORM.S.INV(RAND()))</f>
        <v/>
      </c>
    </row>
    <row r="4494">
      <c r="F4494">
        <f>F4493+1</f>
        <v/>
      </c>
      <c r="G4494" s="92">
        <f>EXP($C$12+$C$8*_xlfn.NORM.S.INV(RAND()))</f>
        <v/>
      </c>
    </row>
    <row r="4495">
      <c r="F4495">
        <f>F4494+1</f>
        <v/>
      </c>
      <c r="G4495" s="92">
        <f>EXP($C$12+$C$8*_xlfn.NORM.S.INV(RAND()))</f>
        <v/>
      </c>
    </row>
    <row r="4496">
      <c r="F4496">
        <f>F4495+1</f>
        <v/>
      </c>
      <c r="G4496" s="92">
        <f>EXP($C$12+$C$8*_xlfn.NORM.S.INV(RAND()))</f>
        <v/>
      </c>
    </row>
    <row r="4497">
      <c r="F4497">
        <f>F4496+1</f>
        <v/>
      </c>
      <c r="G4497" s="92">
        <f>EXP($C$12+$C$8*_xlfn.NORM.S.INV(RAND()))</f>
        <v/>
      </c>
    </row>
    <row r="4498">
      <c r="F4498">
        <f>F4497+1</f>
        <v/>
      </c>
      <c r="G4498" s="92">
        <f>EXP($C$12+$C$8*_xlfn.NORM.S.INV(RAND()))</f>
        <v/>
      </c>
    </row>
    <row r="4499">
      <c r="F4499">
        <f>F4498+1</f>
        <v/>
      </c>
      <c r="G4499" s="92">
        <f>EXP($C$12+$C$8*_xlfn.NORM.S.INV(RAND()))</f>
        <v/>
      </c>
    </row>
    <row r="4500">
      <c r="F4500">
        <f>F4499+1</f>
        <v/>
      </c>
      <c r="G4500" s="92">
        <f>EXP($C$12+$C$8*_xlfn.NORM.S.INV(RAND()))</f>
        <v/>
      </c>
    </row>
    <row r="4501">
      <c r="F4501">
        <f>F4500+1</f>
        <v/>
      </c>
      <c r="G4501" s="92">
        <f>EXP($C$12+$C$8*_xlfn.NORM.S.INV(RAND()))</f>
        <v/>
      </c>
    </row>
    <row r="4502">
      <c r="F4502">
        <f>F4501+1</f>
        <v/>
      </c>
      <c r="G4502" s="92">
        <f>EXP($C$12+$C$8*_xlfn.NORM.S.INV(RAND()))</f>
        <v/>
      </c>
    </row>
    <row r="4503">
      <c r="F4503">
        <f>F4502+1</f>
        <v/>
      </c>
      <c r="G4503" s="92">
        <f>EXP($C$12+$C$8*_xlfn.NORM.S.INV(RAND()))</f>
        <v/>
      </c>
    </row>
    <row r="4504">
      <c r="F4504">
        <f>F4503+1</f>
        <v/>
      </c>
      <c r="G4504" s="92">
        <f>EXP($C$12+$C$8*_xlfn.NORM.S.INV(RAND()))</f>
        <v/>
      </c>
    </row>
    <row r="4505">
      <c r="F4505">
        <f>F4504+1</f>
        <v/>
      </c>
      <c r="G4505" s="92">
        <f>EXP($C$12+$C$8*_xlfn.NORM.S.INV(RAND()))</f>
        <v/>
      </c>
    </row>
    <row r="4506">
      <c r="F4506">
        <f>F4505+1</f>
        <v/>
      </c>
      <c r="G4506" s="92">
        <f>EXP($C$12+$C$8*_xlfn.NORM.S.INV(RAND()))</f>
        <v/>
      </c>
    </row>
    <row r="4507">
      <c r="F4507">
        <f>F4506+1</f>
        <v/>
      </c>
      <c r="G4507" s="92">
        <f>EXP($C$12+$C$8*_xlfn.NORM.S.INV(RAND()))</f>
        <v/>
      </c>
    </row>
    <row r="4508">
      <c r="F4508">
        <f>F4507+1</f>
        <v/>
      </c>
      <c r="G4508" s="92">
        <f>EXP($C$12+$C$8*_xlfn.NORM.S.INV(RAND()))</f>
        <v/>
      </c>
    </row>
    <row r="4509">
      <c r="F4509">
        <f>F4508+1</f>
        <v/>
      </c>
      <c r="G4509" s="92">
        <f>EXP($C$12+$C$8*_xlfn.NORM.S.INV(RAND()))</f>
        <v/>
      </c>
    </row>
    <row r="4510">
      <c r="F4510">
        <f>F4509+1</f>
        <v/>
      </c>
      <c r="G4510" s="92">
        <f>EXP($C$12+$C$8*_xlfn.NORM.S.INV(RAND()))</f>
        <v/>
      </c>
    </row>
    <row r="4511">
      <c r="F4511">
        <f>F4510+1</f>
        <v/>
      </c>
      <c r="G4511" s="92">
        <f>EXP($C$12+$C$8*_xlfn.NORM.S.INV(RAND()))</f>
        <v/>
      </c>
    </row>
    <row r="4512">
      <c r="F4512">
        <f>F4511+1</f>
        <v/>
      </c>
      <c r="G4512" s="92">
        <f>EXP($C$12+$C$8*_xlfn.NORM.S.INV(RAND()))</f>
        <v/>
      </c>
    </row>
    <row r="4513">
      <c r="F4513">
        <f>F4512+1</f>
        <v/>
      </c>
      <c r="G4513" s="92">
        <f>EXP($C$12+$C$8*_xlfn.NORM.S.INV(RAND()))</f>
        <v/>
      </c>
    </row>
    <row r="4514">
      <c r="F4514">
        <f>F4513+1</f>
        <v/>
      </c>
      <c r="G4514" s="92">
        <f>EXP($C$12+$C$8*_xlfn.NORM.S.INV(RAND()))</f>
        <v/>
      </c>
    </row>
    <row r="4515">
      <c r="F4515">
        <f>F4514+1</f>
        <v/>
      </c>
      <c r="G4515" s="92">
        <f>EXP($C$12+$C$8*_xlfn.NORM.S.INV(RAND()))</f>
        <v/>
      </c>
    </row>
    <row r="4516">
      <c r="F4516">
        <f>F4515+1</f>
        <v/>
      </c>
      <c r="G4516" s="92">
        <f>EXP($C$12+$C$8*_xlfn.NORM.S.INV(RAND()))</f>
        <v/>
      </c>
    </row>
    <row r="4517">
      <c r="F4517">
        <f>F4516+1</f>
        <v/>
      </c>
      <c r="G4517" s="92">
        <f>EXP($C$12+$C$8*_xlfn.NORM.S.INV(RAND()))</f>
        <v/>
      </c>
    </row>
    <row r="4518">
      <c r="F4518">
        <f>F4517+1</f>
        <v/>
      </c>
      <c r="G4518" s="92">
        <f>EXP($C$12+$C$8*_xlfn.NORM.S.INV(RAND()))</f>
        <v/>
      </c>
    </row>
    <row r="4519">
      <c r="F4519">
        <f>F4518+1</f>
        <v/>
      </c>
      <c r="G4519" s="92">
        <f>EXP($C$12+$C$8*_xlfn.NORM.S.INV(RAND()))</f>
        <v/>
      </c>
    </row>
    <row r="4520">
      <c r="F4520">
        <f>F4519+1</f>
        <v/>
      </c>
      <c r="G4520" s="92">
        <f>EXP($C$12+$C$8*_xlfn.NORM.S.INV(RAND()))</f>
        <v/>
      </c>
    </row>
    <row r="4521">
      <c r="F4521">
        <f>F4520+1</f>
        <v/>
      </c>
      <c r="G4521" s="92">
        <f>EXP($C$12+$C$8*_xlfn.NORM.S.INV(RAND()))</f>
        <v/>
      </c>
    </row>
    <row r="4522">
      <c r="F4522">
        <f>F4521+1</f>
        <v/>
      </c>
      <c r="G4522" s="92">
        <f>EXP($C$12+$C$8*_xlfn.NORM.S.INV(RAND()))</f>
        <v/>
      </c>
    </row>
    <row r="4523">
      <c r="F4523">
        <f>F4522+1</f>
        <v/>
      </c>
      <c r="G4523" s="92">
        <f>EXP($C$12+$C$8*_xlfn.NORM.S.INV(RAND()))</f>
        <v/>
      </c>
    </row>
    <row r="4524">
      <c r="F4524">
        <f>F4523+1</f>
        <v/>
      </c>
      <c r="G4524" s="92">
        <f>EXP($C$12+$C$8*_xlfn.NORM.S.INV(RAND()))</f>
        <v/>
      </c>
    </row>
    <row r="4525">
      <c r="F4525">
        <f>F4524+1</f>
        <v/>
      </c>
      <c r="G4525" s="92">
        <f>EXP($C$12+$C$8*_xlfn.NORM.S.INV(RAND()))</f>
        <v/>
      </c>
    </row>
    <row r="4526">
      <c r="F4526">
        <f>F4525+1</f>
        <v/>
      </c>
      <c r="G4526" s="92">
        <f>EXP($C$12+$C$8*_xlfn.NORM.S.INV(RAND()))</f>
        <v/>
      </c>
    </row>
    <row r="4527">
      <c r="F4527">
        <f>F4526+1</f>
        <v/>
      </c>
      <c r="G4527" s="92">
        <f>EXP($C$12+$C$8*_xlfn.NORM.S.INV(RAND()))</f>
        <v/>
      </c>
    </row>
    <row r="4528">
      <c r="F4528">
        <f>F4527+1</f>
        <v/>
      </c>
      <c r="G4528" s="92">
        <f>EXP($C$12+$C$8*_xlfn.NORM.S.INV(RAND()))</f>
        <v/>
      </c>
    </row>
    <row r="4529">
      <c r="F4529">
        <f>F4528+1</f>
        <v/>
      </c>
      <c r="G4529" s="92">
        <f>EXP($C$12+$C$8*_xlfn.NORM.S.INV(RAND()))</f>
        <v/>
      </c>
    </row>
    <row r="4530">
      <c r="F4530">
        <f>F4529+1</f>
        <v/>
      </c>
      <c r="G4530" s="92">
        <f>EXP($C$12+$C$8*_xlfn.NORM.S.INV(RAND()))</f>
        <v/>
      </c>
    </row>
    <row r="4531">
      <c r="F4531">
        <f>F4530+1</f>
        <v/>
      </c>
      <c r="G4531" s="92">
        <f>EXP($C$12+$C$8*_xlfn.NORM.S.INV(RAND()))</f>
        <v/>
      </c>
    </row>
    <row r="4532">
      <c r="F4532">
        <f>F4531+1</f>
        <v/>
      </c>
      <c r="G4532" s="92">
        <f>EXP($C$12+$C$8*_xlfn.NORM.S.INV(RAND()))</f>
        <v/>
      </c>
    </row>
    <row r="4533">
      <c r="F4533">
        <f>F4532+1</f>
        <v/>
      </c>
      <c r="G4533" s="92">
        <f>EXP($C$12+$C$8*_xlfn.NORM.S.INV(RAND()))</f>
        <v/>
      </c>
    </row>
    <row r="4534">
      <c r="F4534">
        <f>F4533+1</f>
        <v/>
      </c>
      <c r="G4534" s="92">
        <f>EXP($C$12+$C$8*_xlfn.NORM.S.INV(RAND()))</f>
        <v/>
      </c>
    </row>
    <row r="4535">
      <c r="F4535">
        <f>F4534+1</f>
        <v/>
      </c>
      <c r="G4535" s="92">
        <f>EXP($C$12+$C$8*_xlfn.NORM.S.INV(RAND()))</f>
        <v/>
      </c>
    </row>
    <row r="4536">
      <c r="F4536">
        <f>F4535+1</f>
        <v/>
      </c>
      <c r="G4536" s="92">
        <f>EXP($C$12+$C$8*_xlfn.NORM.S.INV(RAND()))</f>
        <v/>
      </c>
    </row>
    <row r="4537">
      <c r="F4537">
        <f>F4536+1</f>
        <v/>
      </c>
      <c r="G4537" s="92">
        <f>EXP($C$12+$C$8*_xlfn.NORM.S.INV(RAND()))</f>
        <v/>
      </c>
    </row>
    <row r="4538">
      <c r="F4538">
        <f>F4537+1</f>
        <v/>
      </c>
      <c r="G4538" s="92">
        <f>EXP($C$12+$C$8*_xlfn.NORM.S.INV(RAND()))</f>
        <v/>
      </c>
    </row>
    <row r="4539">
      <c r="F4539">
        <f>F4538+1</f>
        <v/>
      </c>
      <c r="G4539" s="92">
        <f>EXP($C$12+$C$8*_xlfn.NORM.S.INV(RAND()))</f>
        <v/>
      </c>
    </row>
    <row r="4540">
      <c r="F4540">
        <f>F4539+1</f>
        <v/>
      </c>
      <c r="G4540" s="92">
        <f>EXP($C$12+$C$8*_xlfn.NORM.S.INV(RAND()))</f>
        <v/>
      </c>
    </row>
    <row r="4541">
      <c r="F4541">
        <f>F4540+1</f>
        <v/>
      </c>
      <c r="G4541" s="92">
        <f>EXP($C$12+$C$8*_xlfn.NORM.S.INV(RAND()))</f>
        <v/>
      </c>
    </row>
    <row r="4542">
      <c r="F4542">
        <f>F4541+1</f>
        <v/>
      </c>
      <c r="G4542" s="92">
        <f>EXP($C$12+$C$8*_xlfn.NORM.S.INV(RAND()))</f>
        <v/>
      </c>
    </row>
    <row r="4543">
      <c r="F4543">
        <f>F4542+1</f>
        <v/>
      </c>
      <c r="G4543" s="92">
        <f>EXP($C$12+$C$8*_xlfn.NORM.S.INV(RAND()))</f>
        <v/>
      </c>
    </row>
    <row r="4544">
      <c r="F4544">
        <f>F4543+1</f>
        <v/>
      </c>
      <c r="G4544" s="92">
        <f>EXP($C$12+$C$8*_xlfn.NORM.S.INV(RAND()))</f>
        <v/>
      </c>
    </row>
    <row r="4545">
      <c r="F4545">
        <f>F4544+1</f>
        <v/>
      </c>
      <c r="G4545" s="92">
        <f>EXP($C$12+$C$8*_xlfn.NORM.S.INV(RAND()))</f>
        <v/>
      </c>
    </row>
    <row r="4546">
      <c r="F4546">
        <f>F4545+1</f>
        <v/>
      </c>
      <c r="G4546" s="92">
        <f>EXP($C$12+$C$8*_xlfn.NORM.S.INV(RAND()))</f>
        <v/>
      </c>
    </row>
    <row r="4547">
      <c r="F4547">
        <f>F4546+1</f>
        <v/>
      </c>
      <c r="G4547" s="92">
        <f>EXP($C$12+$C$8*_xlfn.NORM.S.INV(RAND()))</f>
        <v/>
      </c>
    </row>
    <row r="4548">
      <c r="F4548">
        <f>F4547+1</f>
        <v/>
      </c>
      <c r="G4548" s="92">
        <f>EXP($C$12+$C$8*_xlfn.NORM.S.INV(RAND()))</f>
        <v/>
      </c>
    </row>
    <row r="4549">
      <c r="F4549">
        <f>F4548+1</f>
        <v/>
      </c>
      <c r="G4549" s="92">
        <f>EXP($C$12+$C$8*_xlfn.NORM.S.INV(RAND()))</f>
        <v/>
      </c>
    </row>
    <row r="4550">
      <c r="F4550">
        <f>F4549+1</f>
        <v/>
      </c>
      <c r="G4550" s="92">
        <f>EXP($C$12+$C$8*_xlfn.NORM.S.INV(RAND()))</f>
        <v/>
      </c>
    </row>
    <row r="4551">
      <c r="F4551">
        <f>F4550+1</f>
        <v/>
      </c>
      <c r="G4551" s="92">
        <f>EXP($C$12+$C$8*_xlfn.NORM.S.INV(RAND()))</f>
        <v/>
      </c>
    </row>
    <row r="4552">
      <c r="F4552">
        <f>F4551+1</f>
        <v/>
      </c>
      <c r="G4552" s="92">
        <f>EXP($C$12+$C$8*_xlfn.NORM.S.INV(RAND()))</f>
        <v/>
      </c>
    </row>
    <row r="4553">
      <c r="F4553">
        <f>F4552+1</f>
        <v/>
      </c>
      <c r="G4553" s="92">
        <f>EXP($C$12+$C$8*_xlfn.NORM.S.INV(RAND()))</f>
        <v/>
      </c>
    </row>
    <row r="4554">
      <c r="F4554">
        <f>F4553+1</f>
        <v/>
      </c>
      <c r="G4554" s="92">
        <f>EXP($C$12+$C$8*_xlfn.NORM.S.INV(RAND()))</f>
        <v/>
      </c>
    </row>
    <row r="4555">
      <c r="F4555">
        <f>F4554+1</f>
        <v/>
      </c>
      <c r="G4555" s="92">
        <f>EXP($C$12+$C$8*_xlfn.NORM.S.INV(RAND()))</f>
        <v/>
      </c>
    </row>
    <row r="4556">
      <c r="F4556">
        <f>F4555+1</f>
        <v/>
      </c>
      <c r="G4556" s="92">
        <f>EXP($C$12+$C$8*_xlfn.NORM.S.INV(RAND()))</f>
        <v/>
      </c>
    </row>
    <row r="4557">
      <c r="F4557">
        <f>F4556+1</f>
        <v/>
      </c>
      <c r="G4557" s="92">
        <f>EXP($C$12+$C$8*_xlfn.NORM.S.INV(RAND()))</f>
        <v/>
      </c>
    </row>
    <row r="4558">
      <c r="F4558">
        <f>F4557+1</f>
        <v/>
      </c>
      <c r="G4558" s="92">
        <f>EXP($C$12+$C$8*_xlfn.NORM.S.INV(RAND()))</f>
        <v/>
      </c>
    </row>
    <row r="4559">
      <c r="F4559">
        <f>F4558+1</f>
        <v/>
      </c>
      <c r="G4559" s="92">
        <f>EXP($C$12+$C$8*_xlfn.NORM.S.INV(RAND()))</f>
        <v/>
      </c>
    </row>
    <row r="4560">
      <c r="F4560">
        <f>F4559+1</f>
        <v/>
      </c>
      <c r="G4560" s="92">
        <f>EXP($C$12+$C$8*_xlfn.NORM.S.INV(RAND()))</f>
        <v/>
      </c>
    </row>
    <row r="4561">
      <c r="F4561">
        <f>F4560+1</f>
        <v/>
      </c>
      <c r="G4561" s="92">
        <f>EXP($C$12+$C$8*_xlfn.NORM.S.INV(RAND()))</f>
        <v/>
      </c>
    </row>
    <row r="4562">
      <c r="F4562">
        <f>F4561+1</f>
        <v/>
      </c>
      <c r="G4562" s="92">
        <f>EXP($C$12+$C$8*_xlfn.NORM.S.INV(RAND()))</f>
        <v/>
      </c>
    </row>
    <row r="4563">
      <c r="F4563">
        <f>F4562+1</f>
        <v/>
      </c>
      <c r="G4563" s="92">
        <f>EXP($C$12+$C$8*_xlfn.NORM.S.INV(RAND()))</f>
        <v/>
      </c>
    </row>
    <row r="4564">
      <c r="F4564">
        <f>F4563+1</f>
        <v/>
      </c>
      <c r="G4564" s="92">
        <f>EXP($C$12+$C$8*_xlfn.NORM.S.INV(RAND()))</f>
        <v/>
      </c>
    </row>
    <row r="4565">
      <c r="F4565">
        <f>F4564+1</f>
        <v/>
      </c>
      <c r="G4565" s="92">
        <f>EXP($C$12+$C$8*_xlfn.NORM.S.INV(RAND()))</f>
        <v/>
      </c>
    </row>
    <row r="4566">
      <c r="F4566">
        <f>F4565+1</f>
        <v/>
      </c>
      <c r="G4566" s="92">
        <f>EXP($C$12+$C$8*_xlfn.NORM.S.INV(RAND()))</f>
        <v/>
      </c>
    </row>
    <row r="4567">
      <c r="F4567">
        <f>F4566+1</f>
        <v/>
      </c>
      <c r="G4567" s="92">
        <f>EXP($C$12+$C$8*_xlfn.NORM.S.INV(RAND()))</f>
        <v/>
      </c>
    </row>
    <row r="4568">
      <c r="F4568">
        <f>F4567+1</f>
        <v/>
      </c>
      <c r="G4568" s="92">
        <f>EXP($C$12+$C$8*_xlfn.NORM.S.INV(RAND()))</f>
        <v/>
      </c>
    </row>
    <row r="4569">
      <c r="F4569">
        <f>F4568+1</f>
        <v/>
      </c>
      <c r="G4569" s="92">
        <f>EXP($C$12+$C$8*_xlfn.NORM.S.INV(RAND()))</f>
        <v/>
      </c>
    </row>
    <row r="4570">
      <c r="F4570">
        <f>F4569+1</f>
        <v/>
      </c>
      <c r="G4570" s="92">
        <f>EXP($C$12+$C$8*_xlfn.NORM.S.INV(RAND()))</f>
        <v/>
      </c>
    </row>
    <row r="4571">
      <c r="F4571">
        <f>F4570+1</f>
        <v/>
      </c>
      <c r="G4571" s="92">
        <f>EXP($C$12+$C$8*_xlfn.NORM.S.INV(RAND()))</f>
        <v/>
      </c>
    </row>
    <row r="4572">
      <c r="F4572">
        <f>F4571+1</f>
        <v/>
      </c>
      <c r="G4572" s="92">
        <f>EXP($C$12+$C$8*_xlfn.NORM.S.INV(RAND()))</f>
        <v/>
      </c>
    </row>
    <row r="4573">
      <c r="F4573">
        <f>F4572+1</f>
        <v/>
      </c>
      <c r="G4573" s="92">
        <f>EXP($C$12+$C$8*_xlfn.NORM.S.INV(RAND()))</f>
        <v/>
      </c>
    </row>
    <row r="4574">
      <c r="F4574">
        <f>F4573+1</f>
        <v/>
      </c>
      <c r="G4574" s="92">
        <f>EXP($C$12+$C$8*_xlfn.NORM.S.INV(RAND()))</f>
        <v/>
      </c>
    </row>
    <row r="4575">
      <c r="F4575">
        <f>F4574+1</f>
        <v/>
      </c>
      <c r="G4575" s="92">
        <f>EXP($C$12+$C$8*_xlfn.NORM.S.INV(RAND()))</f>
        <v/>
      </c>
    </row>
    <row r="4576">
      <c r="F4576">
        <f>F4575+1</f>
        <v/>
      </c>
      <c r="G4576" s="92">
        <f>EXP($C$12+$C$8*_xlfn.NORM.S.INV(RAND()))</f>
        <v/>
      </c>
    </row>
    <row r="4577">
      <c r="F4577">
        <f>F4576+1</f>
        <v/>
      </c>
      <c r="G4577" s="92">
        <f>EXP($C$12+$C$8*_xlfn.NORM.S.INV(RAND()))</f>
        <v/>
      </c>
    </row>
    <row r="4578">
      <c r="F4578">
        <f>F4577+1</f>
        <v/>
      </c>
      <c r="G4578" s="92">
        <f>EXP($C$12+$C$8*_xlfn.NORM.S.INV(RAND()))</f>
        <v/>
      </c>
    </row>
    <row r="4579">
      <c r="F4579">
        <f>F4578+1</f>
        <v/>
      </c>
      <c r="G4579" s="92">
        <f>EXP($C$12+$C$8*_xlfn.NORM.S.INV(RAND()))</f>
        <v/>
      </c>
    </row>
    <row r="4580">
      <c r="F4580">
        <f>F4579+1</f>
        <v/>
      </c>
      <c r="G4580" s="92">
        <f>EXP($C$12+$C$8*_xlfn.NORM.S.INV(RAND()))</f>
        <v/>
      </c>
    </row>
    <row r="4581">
      <c r="F4581">
        <f>F4580+1</f>
        <v/>
      </c>
      <c r="G4581" s="92">
        <f>EXP($C$12+$C$8*_xlfn.NORM.S.INV(RAND()))</f>
        <v/>
      </c>
    </row>
    <row r="4582">
      <c r="F4582">
        <f>F4581+1</f>
        <v/>
      </c>
      <c r="G4582" s="92">
        <f>EXP($C$12+$C$8*_xlfn.NORM.S.INV(RAND()))</f>
        <v/>
      </c>
    </row>
    <row r="4583">
      <c r="F4583">
        <f>F4582+1</f>
        <v/>
      </c>
      <c r="G4583" s="92">
        <f>EXP($C$12+$C$8*_xlfn.NORM.S.INV(RAND()))</f>
        <v/>
      </c>
    </row>
    <row r="4584">
      <c r="F4584">
        <f>F4583+1</f>
        <v/>
      </c>
      <c r="G4584" s="92">
        <f>EXP($C$12+$C$8*_xlfn.NORM.S.INV(RAND()))</f>
        <v/>
      </c>
    </row>
    <row r="4585">
      <c r="F4585">
        <f>F4584+1</f>
        <v/>
      </c>
      <c r="G4585" s="92">
        <f>EXP($C$12+$C$8*_xlfn.NORM.S.INV(RAND()))</f>
        <v/>
      </c>
    </row>
    <row r="4586">
      <c r="F4586">
        <f>F4585+1</f>
        <v/>
      </c>
      <c r="G4586" s="92">
        <f>EXP($C$12+$C$8*_xlfn.NORM.S.INV(RAND()))</f>
        <v/>
      </c>
    </row>
    <row r="4587">
      <c r="F4587">
        <f>F4586+1</f>
        <v/>
      </c>
      <c r="G4587" s="92">
        <f>EXP($C$12+$C$8*_xlfn.NORM.S.INV(RAND()))</f>
        <v/>
      </c>
    </row>
    <row r="4588">
      <c r="F4588">
        <f>F4587+1</f>
        <v/>
      </c>
      <c r="G4588" s="92">
        <f>EXP($C$12+$C$8*_xlfn.NORM.S.INV(RAND()))</f>
        <v/>
      </c>
    </row>
    <row r="4589">
      <c r="F4589">
        <f>F4588+1</f>
        <v/>
      </c>
      <c r="G4589" s="92">
        <f>EXP($C$12+$C$8*_xlfn.NORM.S.INV(RAND()))</f>
        <v/>
      </c>
    </row>
    <row r="4590">
      <c r="F4590">
        <f>F4589+1</f>
        <v/>
      </c>
      <c r="G4590" s="92">
        <f>EXP($C$12+$C$8*_xlfn.NORM.S.INV(RAND()))</f>
        <v/>
      </c>
    </row>
    <row r="4591">
      <c r="F4591">
        <f>F4590+1</f>
        <v/>
      </c>
      <c r="G4591" s="92">
        <f>EXP($C$12+$C$8*_xlfn.NORM.S.INV(RAND()))</f>
        <v/>
      </c>
    </row>
    <row r="4592">
      <c r="F4592">
        <f>F4591+1</f>
        <v/>
      </c>
      <c r="G4592" s="92">
        <f>EXP($C$12+$C$8*_xlfn.NORM.S.INV(RAND()))</f>
        <v/>
      </c>
    </row>
    <row r="4593">
      <c r="F4593">
        <f>F4592+1</f>
        <v/>
      </c>
      <c r="G4593" s="92">
        <f>EXP($C$12+$C$8*_xlfn.NORM.S.INV(RAND()))</f>
        <v/>
      </c>
    </row>
    <row r="4594">
      <c r="F4594">
        <f>F4593+1</f>
        <v/>
      </c>
      <c r="G4594" s="92">
        <f>EXP($C$12+$C$8*_xlfn.NORM.S.INV(RAND()))</f>
        <v/>
      </c>
    </row>
    <row r="4595">
      <c r="F4595">
        <f>F4594+1</f>
        <v/>
      </c>
      <c r="G4595" s="92">
        <f>EXP($C$12+$C$8*_xlfn.NORM.S.INV(RAND()))</f>
        <v/>
      </c>
    </row>
    <row r="4596">
      <c r="F4596">
        <f>F4595+1</f>
        <v/>
      </c>
      <c r="G4596" s="92">
        <f>EXP($C$12+$C$8*_xlfn.NORM.S.INV(RAND()))</f>
        <v/>
      </c>
    </row>
    <row r="4597">
      <c r="F4597">
        <f>F4596+1</f>
        <v/>
      </c>
      <c r="G4597" s="92">
        <f>EXP($C$12+$C$8*_xlfn.NORM.S.INV(RAND()))</f>
        <v/>
      </c>
    </row>
    <row r="4598">
      <c r="F4598">
        <f>F4597+1</f>
        <v/>
      </c>
      <c r="G4598" s="92">
        <f>EXP($C$12+$C$8*_xlfn.NORM.S.INV(RAND()))</f>
        <v/>
      </c>
    </row>
    <row r="4599">
      <c r="F4599">
        <f>F4598+1</f>
        <v/>
      </c>
      <c r="G4599" s="92">
        <f>EXP($C$12+$C$8*_xlfn.NORM.S.INV(RAND()))</f>
        <v/>
      </c>
    </row>
    <row r="4600">
      <c r="F4600">
        <f>F4599+1</f>
        <v/>
      </c>
      <c r="G4600" s="92">
        <f>EXP($C$12+$C$8*_xlfn.NORM.S.INV(RAND()))</f>
        <v/>
      </c>
    </row>
    <row r="4601">
      <c r="F4601">
        <f>F4600+1</f>
        <v/>
      </c>
      <c r="G4601" s="92">
        <f>EXP($C$12+$C$8*_xlfn.NORM.S.INV(RAND()))</f>
        <v/>
      </c>
    </row>
    <row r="4602">
      <c r="F4602">
        <f>F4601+1</f>
        <v/>
      </c>
      <c r="G4602" s="92">
        <f>EXP($C$12+$C$8*_xlfn.NORM.S.INV(RAND()))</f>
        <v/>
      </c>
    </row>
    <row r="4603">
      <c r="F4603">
        <f>F4602+1</f>
        <v/>
      </c>
      <c r="G4603" s="92">
        <f>EXP($C$12+$C$8*_xlfn.NORM.S.INV(RAND()))</f>
        <v/>
      </c>
    </row>
    <row r="4604">
      <c r="F4604">
        <f>F4603+1</f>
        <v/>
      </c>
      <c r="G4604" s="92">
        <f>EXP($C$12+$C$8*_xlfn.NORM.S.INV(RAND()))</f>
        <v/>
      </c>
    </row>
    <row r="4605">
      <c r="F4605">
        <f>F4604+1</f>
        <v/>
      </c>
      <c r="G4605" s="92">
        <f>EXP($C$12+$C$8*_xlfn.NORM.S.INV(RAND()))</f>
        <v/>
      </c>
    </row>
    <row r="4606">
      <c r="F4606">
        <f>F4605+1</f>
        <v/>
      </c>
      <c r="G4606" s="92">
        <f>EXP($C$12+$C$8*_xlfn.NORM.S.INV(RAND()))</f>
        <v/>
      </c>
    </row>
    <row r="4607">
      <c r="F4607">
        <f>F4606+1</f>
        <v/>
      </c>
      <c r="G4607" s="92">
        <f>EXP($C$12+$C$8*_xlfn.NORM.S.INV(RAND()))</f>
        <v/>
      </c>
    </row>
    <row r="4608">
      <c r="F4608">
        <f>F4607+1</f>
        <v/>
      </c>
      <c r="G4608" s="92">
        <f>EXP($C$12+$C$8*_xlfn.NORM.S.INV(RAND()))</f>
        <v/>
      </c>
    </row>
    <row r="4609">
      <c r="F4609">
        <f>F4608+1</f>
        <v/>
      </c>
      <c r="G4609" s="92">
        <f>EXP($C$12+$C$8*_xlfn.NORM.S.INV(RAND()))</f>
        <v/>
      </c>
    </row>
    <row r="4610">
      <c r="F4610">
        <f>F4609+1</f>
        <v/>
      </c>
      <c r="G4610" s="92">
        <f>EXP($C$12+$C$8*_xlfn.NORM.S.INV(RAND()))</f>
        <v/>
      </c>
    </row>
    <row r="4611">
      <c r="F4611">
        <f>F4610+1</f>
        <v/>
      </c>
      <c r="G4611" s="92">
        <f>EXP($C$12+$C$8*_xlfn.NORM.S.INV(RAND()))</f>
        <v/>
      </c>
    </row>
    <row r="4612">
      <c r="F4612">
        <f>F4611+1</f>
        <v/>
      </c>
      <c r="G4612" s="92">
        <f>EXP($C$12+$C$8*_xlfn.NORM.S.INV(RAND()))</f>
        <v/>
      </c>
    </row>
    <row r="4613">
      <c r="F4613">
        <f>F4612+1</f>
        <v/>
      </c>
      <c r="G4613" s="92">
        <f>EXP($C$12+$C$8*_xlfn.NORM.S.INV(RAND()))</f>
        <v/>
      </c>
    </row>
    <row r="4614">
      <c r="F4614">
        <f>F4613+1</f>
        <v/>
      </c>
      <c r="G4614" s="92">
        <f>EXP($C$12+$C$8*_xlfn.NORM.S.INV(RAND()))</f>
        <v/>
      </c>
    </row>
    <row r="4615">
      <c r="F4615">
        <f>F4614+1</f>
        <v/>
      </c>
      <c r="G4615" s="92">
        <f>EXP($C$12+$C$8*_xlfn.NORM.S.INV(RAND()))</f>
        <v/>
      </c>
    </row>
    <row r="4616">
      <c r="F4616">
        <f>F4615+1</f>
        <v/>
      </c>
      <c r="G4616" s="92">
        <f>EXP($C$12+$C$8*_xlfn.NORM.S.INV(RAND()))</f>
        <v/>
      </c>
    </row>
    <row r="4617">
      <c r="F4617">
        <f>F4616+1</f>
        <v/>
      </c>
      <c r="G4617" s="92">
        <f>EXP($C$12+$C$8*_xlfn.NORM.S.INV(RAND()))</f>
        <v/>
      </c>
    </row>
    <row r="4618">
      <c r="F4618">
        <f>F4617+1</f>
        <v/>
      </c>
      <c r="G4618" s="92">
        <f>EXP($C$12+$C$8*_xlfn.NORM.S.INV(RAND()))</f>
        <v/>
      </c>
    </row>
    <row r="4619">
      <c r="F4619">
        <f>F4618+1</f>
        <v/>
      </c>
      <c r="G4619" s="92">
        <f>EXP($C$12+$C$8*_xlfn.NORM.S.INV(RAND()))</f>
        <v/>
      </c>
    </row>
    <row r="4620">
      <c r="F4620">
        <f>F4619+1</f>
        <v/>
      </c>
      <c r="G4620" s="92">
        <f>EXP($C$12+$C$8*_xlfn.NORM.S.INV(RAND()))</f>
        <v/>
      </c>
    </row>
    <row r="4621">
      <c r="F4621">
        <f>F4620+1</f>
        <v/>
      </c>
      <c r="G4621" s="92">
        <f>EXP($C$12+$C$8*_xlfn.NORM.S.INV(RAND()))</f>
        <v/>
      </c>
    </row>
    <row r="4622">
      <c r="F4622">
        <f>F4621+1</f>
        <v/>
      </c>
      <c r="G4622" s="92">
        <f>EXP($C$12+$C$8*_xlfn.NORM.S.INV(RAND()))</f>
        <v/>
      </c>
    </row>
    <row r="4623">
      <c r="F4623">
        <f>F4622+1</f>
        <v/>
      </c>
      <c r="G4623" s="92">
        <f>EXP($C$12+$C$8*_xlfn.NORM.S.INV(RAND()))</f>
        <v/>
      </c>
    </row>
    <row r="4624">
      <c r="F4624">
        <f>F4623+1</f>
        <v/>
      </c>
      <c r="G4624" s="92">
        <f>EXP($C$12+$C$8*_xlfn.NORM.S.INV(RAND()))</f>
        <v/>
      </c>
    </row>
    <row r="4625">
      <c r="F4625">
        <f>F4624+1</f>
        <v/>
      </c>
      <c r="G4625" s="92">
        <f>EXP($C$12+$C$8*_xlfn.NORM.S.INV(RAND()))</f>
        <v/>
      </c>
    </row>
    <row r="4626">
      <c r="F4626">
        <f>F4625+1</f>
        <v/>
      </c>
      <c r="G4626" s="92">
        <f>EXP($C$12+$C$8*_xlfn.NORM.S.INV(RAND()))</f>
        <v/>
      </c>
    </row>
    <row r="4627">
      <c r="F4627">
        <f>F4626+1</f>
        <v/>
      </c>
      <c r="G4627" s="92">
        <f>EXP($C$12+$C$8*_xlfn.NORM.S.INV(RAND()))</f>
        <v/>
      </c>
    </row>
    <row r="4628">
      <c r="F4628">
        <f>F4627+1</f>
        <v/>
      </c>
      <c r="G4628" s="92">
        <f>EXP($C$12+$C$8*_xlfn.NORM.S.INV(RAND()))</f>
        <v/>
      </c>
    </row>
    <row r="4629">
      <c r="F4629">
        <f>F4628+1</f>
        <v/>
      </c>
      <c r="G4629" s="92">
        <f>EXP($C$12+$C$8*_xlfn.NORM.S.INV(RAND()))</f>
        <v/>
      </c>
    </row>
    <row r="4630">
      <c r="F4630">
        <f>F4629+1</f>
        <v/>
      </c>
      <c r="G4630" s="92">
        <f>EXP($C$12+$C$8*_xlfn.NORM.S.INV(RAND()))</f>
        <v/>
      </c>
    </row>
    <row r="4631">
      <c r="F4631">
        <f>F4630+1</f>
        <v/>
      </c>
      <c r="G4631" s="92">
        <f>EXP($C$12+$C$8*_xlfn.NORM.S.INV(RAND()))</f>
        <v/>
      </c>
    </row>
    <row r="4632">
      <c r="F4632">
        <f>F4631+1</f>
        <v/>
      </c>
      <c r="G4632" s="92">
        <f>EXP($C$12+$C$8*_xlfn.NORM.S.INV(RAND()))</f>
        <v/>
      </c>
    </row>
    <row r="4633">
      <c r="F4633">
        <f>F4632+1</f>
        <v/>
      </c>
      <c r="G4633" s="92">
        <f>EXP($C$12+$C$8*_xlfn.NORM.S.INV(RAND()))</f>
        <v/>
      </c>
    </row>
    <row r="4634">
      <c r="F4634">
        <f>F4633+1</f>
        <v/>
      </c>
      <c r="G4634" s="92">
        <f>EXP($C$12+$C$8*_xlfn.NORM.S.INV(RAND()))</f>
        <v/>
      </c>
    </row>
    <row r="4635">
      <c r="F4635">
        <f>F4634+1</f>
        <v/>
      </c>
      <c r="G4635" s="92">
        <f>EXP($C$12+$C$8*_xlfn.NORM.S.INV(RAND()))</f>
        <v/>
      </c>
    </row>
    <row r="4636">
      <c r="F4636">
        <f>F4635+1</f>
        <v/>
      </c>
      <c r="G4636" s="92">
        <f>EXP($C$12+$C$8*_xlfn.NORM.S.INV(RAND()))</f>
        <v/>
      </c>
    </row>
    <row r="4637">
      <c r="F4637">
        <f>F4636+1</f>
        <v/>
      </c>
      <c r="G4637" s="92">
        <f>EXP($C$12+$C$8*_xlfn.NORM.S.INV(RAND()))</f>
        <v/>
      </c>
    </row>
    <row r="4638">
      <c r="F4638">
        <f>F4637+1</f>
        <v/>
      </c>
      <c r="G4638" s="92">
        <f>EXP($C$12+$C$8*_xlfn.NORM.S.INV(RAND()))</f>
        <v/>
      </c>
    </row>
    <row r="4639">
      <c r="F4639">
        <f>F4638+1</f>
        <v/>
      </c>
      <c r="G4639" s="92">
        <f>EXP($C$12+$C$8*_xlfn.NORM.S.INV(RAND()))</f>
        <v/>
      </c>
    </row>
    <row r="4640">
      <c r="F4640">
        <f>F4639+1</f>
        <v/>
      </c>
      <c r="G4640" s="92">
        <f>EXP($C$12+$C$8*_xlfn.NORM.S.INV(RAND()))</f>
        <v/>
      </c>
    </row>
    <row r="4641">
      <c r="F4641">
        <f>F4640+1</f>
        <v/>
      </c>
      <c r="G4641" s="92">
        <f>EXP($C$12+$C$8*_xlfn.NORM.S.INV(RAND()))</f>
        <v/>
      </c>
    </row>
    <row r="4642">
      <c r="F4642">
        <f>F4641+1</f>
        <v/>
      </c>
      <c r="G4642" s="92">
        <f>EXP($C$12+$C$8*_xlfn.NORM.S.INV(RAND()))</f>
        <v/>
      </c>
    </row>
    <row r="4643">
      <c r="F4643">
        <f>F4642+1</f>
        <v/>
      </c>
      <c r="G4643" s="92">
        <f>EXP($C$12+$C$8*_xlfn.NORM.S.INV(RAND()))</f>
        <v/>
      </c>
    </row>
    <row r="4644">
      <c r="F4644">
        <f>F4643+1</f>
        <v/>
      </c>
      <c r="G4644" s="92">
        <f>EXP($C$12+$C$8*_xlfn.NORM.S.INV(RAND()))</f>
        <v/>
      </c>
    </row>
    <row r="4645">
      <c r="F4645">
        <f>F4644+1</f>
        <v/>
      </c>
      <c r="G4645" s="92">
        <f>EXP($C$12+$C$8*_xlfn.NORM.S.INV(RAND()))</f>
        <v/>
      </c>
    </row>
    <row r="4646">
      <c r="F4646">
        <f>F4645+1</f>
        <v/>
      </c>
      <c r="G4646" s="92">
        <f>EXP($C$12+$C$8*_xlfn.NORM.S.INV(RAND()))</f>
        <v/>
      </c>
    </row>
    <row r="4647">
      <c r="F4647">
        <f>F4646+1</f>
        <v/>
      </c>
      <c r="G4647" s="92">
        <f>EXP($C$12+$C$8*_xlfn.NORM.S.INV(RAND()))</f>
        <v/>
      </c>
    </row>
    <row r="4648">
      <c r="F4648">
        <f>F4647+1</f>
        <v/>
      </c>
      <c r="G4648" s="92">
        <f>EXP($C$12+$C$8*_xlfn.NORM.S.INV(RAND()))</f>
        <v/>
      </c>
    </row>
    <row r="4649">
      <c r="F4649">
        <f>F4648+1</f>
        <v/>
      </c>
      <c r="G4649" s="92">
        <f>EXP($C$12+$C$8*_xlfn.NORM.S.INV(RAND()))</f>
        <v/>
      </c>
    </row>
    <row r="4650">
      <c r="F4650">
        <f>F4649+1</f>
        <v/>
      </c>
      <c r="G4650" s="92">
        <f>EXP($C$12+$C$8*_xlfn.NORM.S.INV(RAND()))</f>
        <v/>
      </c>
    </row>
    <row r="4651">
      <c r="F4651">
        <f>F4650+1</f>
        <v/>
      </c>
      <c r="G4651" s="92">
        <f>EXP($C$12+$C$8*_xlfn.NORM.S.INV(RAND()))</f>
        <v/>
      </c>
    </row>
    <row r="4652">
      <c r="F4652">
        <f>F4651+1</f>
        <v/>
      </c>
      <c r="G4652" s="92">
        <f>EXP($C$12+$C$8*_xlfn.NORM.S.INV(RAND()))</f>
        <v/>
      </c>
    </row>
    <row r="4653">
      <c r="F4653">
        <f>F4652+1</f>
        <v/>
      </c>
      <c r="G4653" s="92">
        <f>EXP($C$12+$C$8*_xlfn.NORM.S.INV(RAND()))</f>
        <v/>
      </c>
    </row>
    <row r="4654">
      <c r="F4654">
        <f>F4653+1</f>
        <v/>
      </c>
      <c r="G4654" s="92">
        <f>EXP($C$12+$C$8*_xlfn.NORM.S.INV(RAND()))</f>
        <v/>
      </c>
    </row>
    <row r="4655">
      <c r="F4655">
        <f>F4654+1</f>
        <v/>
      </c>
      <c r="G4655" s="92">
        <f>EXP($C$12+$C$8*_xlfn.NORM.S.INV(RAND()))</f>
        <v/>
      </c>
    </row>
    <row r="4656">
      <c r="F4656">
        <f>F4655+1</f>
        <v/>
      </c>
      <c r="G4656" s="92">
        <f>EXP($C$12+$C$8*_xlfn.NORM.S.INV(RAND()))</f>
        <v/>
      </c>
    </row>
    <row r="4657">
      <c r="F4657">
        <f>F4656+1</f>
        <v/>
      </c>
      <c r="G4657" s="92">
        <f>EXP($C$12+$C$8*_xlfn.NORM.S.INV(RAND()))</f>
        <v/>
      </c>
    </row>
    <row r="4658">
      <c r="F4658">
        <f>F4657+1</f>
        <v/>
      </c>
      <c r="G4658" s="92">
        <f>EXP($C$12+$C$8*_xlfn.NORM.S.INV(RAND()))</f>
        <v/>
      </c>
    </row>
    <row r="4659">
      <c r="F4659">
        <f>F4658+1</f>
        <v/>
      </c>
      <c r="G4659" s="92">
        <f>EXP($C$12+$C$8*_xlfn.NORM.S.INV(RAND()))</f>
        <v/>
      </c>
    </row>
    <row r="4660">
      <c r="F4660">
        <f>F4659+1</f>
        <v/>
      </c>
      <c r="G4660" s="92">
        <f>EXP($C$12+$C$8*_xlfn.NORM.S.INV(RAND()))</f>
        <v/>
      </c>
    </row>
    <row r="4661">
      <c r="F4661">
        <f>F4660+1</f>
        <v/>
      </c>
      <c r="G4661" s="92">
        <f>EXP($C$12+$C$8*_xlfn.NORM.S.INV(RAND()))</f>
        <v/>
      </c>
    </row>
    <row r="4662">
      <c r="F4662">
        <f>F4661+1</f>
        <v/>
      </c>
      <c r="G4662" s="92">
        <f>EXP($C$12+$C$8*_xlfn.NORM.S.INV(RAND()))</f>
        <v/>
      </c>
    </row>
    <row r="4663">
      <c r="F4663">
        <f>F4662+1</f>
        <v/>
      </c>
      <c r="G4663" s="92">
        <f>EXP($C$12+$C$8*_xlfn.NORM.S.INV(RAND()))</f>
        <v/>
      </c>
    </row>
    <row r="4664">
      <c r="F4664">
        <f>F4663+1</f>
        <v/>
      </c>
      <c r="G4664" s="92">
        <f>EXP($C$12+$C$8*_xlfn.NORM.S.INV(RAND()))</f>
        <v/>
      </c>
    </row>
    <row r="4665">
      <c r="F4665">
        <f>F4664+1</f>
        <v/>
      </c>
      <c r="G4665" s="92">
        <f>EXP($C$12+$C$8*_xlfn.NORM.S.INV(RAND()))</f>
        <v/>
      </c>
    </row>
    <row r="4666">
      <c r="F4666">
        <f>F4665+1</f>
        <v/>
      </c>
      <c r="G4666" s="92">
        <f>EXP($C$12+$C$8*_xlfn.NORM.S.INV(RAND()))</f>
        <v/>
      </c>
    </row>
    <row r="4667">
      <c r="F4667">
        <f>F4666+1</f>
        <v/>
      </c>
      <c r="G4667" s="92">
        <f>EXP($C$12+$C$8*_xlfn.NORM.S.INV(RAND()))</f>
        <v/>
      </c>
    </row>
    <row r="4668">
      <c r="F4668">
        <f>F4667+1</f>
        <v/>
      </c>
      <c r="G4668" s="92">
        <f>EXP($C$12+$C$8*_xlfn.NORM.S.INV(RAND()))</f>
        <v/>
      </c>
    </row>
    <row r="4669">
      <c r="F4669">
        <f>F4668+1</f>
        <v/>
      </c>
      <c r="G4669" s="92">
        <f>EXP($C$12+$C$8*_xlfn.NORM.S.INV(RAND()))</f>
        <v/>
      </c>
    </row>
    <row r="4670">
      <c r="F4670">
        <f>F4669+1</f>
        <v/>
      </c>
      <c r="G4670" s="92">
        <f>EXP($C$12+$C$8*_xlfn.NORM.S.INV(RAND()))</f>
        <v/>
      </c>
    </row>
    <row r="4671">
      <c r="F4671">
        <f>F4670+1</f>
        <v/>
      </c>
      <c r="G4671" s="92">
        <f>EXP($C$12+$C$8*_xlfn.NORM.S.INV(RAND()))</f>
        <v/>
      </c>
    </row>
    <row r="4672">
      <c r="F4672">
        <f>F4671+1</f>
        <v/>
      </c>
      <c r="G4672" s="92">
        <f>EXP($C$12+$C$8*_xlfn.NORM.S.INV(RAND()))</f>
        <v/>
      </c>
    </row>
    <row r="4673">
      <c r="F4673">
        <f>F4672+1</f>
        <v/>
      </c>
      <c r="G4673" s="92">
        <f>EXP($C$12+$C$8*_xlfn.NORM.S.INV(RAND()))</f>
        <v/>
      </c>
    </row>
    <row r="4674">
      <c r="F4674">
        <f>F4673+1</f>
        <v/>
      </c>
      <c r="G4674" s="92">
        <f>EXP($C$12+$C$8*_xlfn.NORM.S.INV(RAND()))</f>
        <v/>
      </c>
    </row>
    <row r="4675">
      <c r="F4675">
        <f>F4674+1</f>
        <v/>
      </c>
      <c r="G4675" s="92">
        <f>EXP($C$12+$C$8*_xlfn.NORM.S.INV(RAND()))</f>
        <v/>
      </c>
    </row>
    <row r="4676">
      <c r="F4676">
        <f>F4675+1</f>
        <v/>
      </c>
      <c r="G4676" s="92">
        <f>EXP($C$12+$C$8*_xlfn.NORM.S.INV(RAND()))</f>
        <v/>
      </c>
    </row>
    <row r="4677">
      <c r="F4677">
        <f>F4676+1</f>
        <v/>
      </c>
      <c r="G4677" s="92">
        <f>EXP($C$12+$C$8*_xlfn.NORM.S.INV(RAND()))</f>
        <v/>
      </c>
    </row>
    <row r="4678">
      <c r="F4678">
        <f>F4677+1</f>
        <v/>
      </c>
      <c r="G4678" s="92">
        <f>EXP($C$12+$C$8*_xlfn.NORM.S.INV(RAND()))</f>
        <v/>
      </c>
    </row>
    <row r="4679">
      <c r="F4679">
        <f>F4678+1</f>
        <v/>
      </c>
      <c r="G4679" s="92">
        <f>EXP($C$12+$C$8*_xlfn.NORM.S.INV(RAND()))</f>
        <v/>
      </c>
    </row>
    <row r="4680">
      <c r="F4680">
        <f>F4679+1</f>
        <v/>
      </c>
      <c r="G4680" s="92">
        <f>EXP($C$12+$C$8*_xlfn.NORM.S.INV(RAND()))</f>
        <v/>
      </c>
    </row>
    <row r="4681">
      <c r="F4681">
        <f>F4680+1</f>
        <v/>
      </c>
      <c r="G4681" s="92">
        <f>EXP($C$12+$C$8*_xlfn.NORM.S.INV(RAND()))</f>
        <v/>
      </c>
    </row>
    <row r="4682">
      <c r="F4682">
        <f>F4681+1</f>
        <v/>
      </c>
      <c r="G4682" s="92">
        <f>EXP($C$12+$C$8*_xlfn.NORM.S.INV(RAND()))</f>
        <v/>
      </c>
    </row>
    <row r="4683">
      <c r="F4683">
        <f>F4682+1</f>
        <v/>
      </c>
      <c r="G4683" s="92">
        <f>EXP($C$12+$C$8*_xlfn.NORM.S.INV(RAND()))</f>
        <v/>
      </c>
    </row>
    <row r="4684">
      <c r="F4684">
        <f>F4683+1</f>
        <v/>
      </c>
      <c r="G4684" s="92">
        <f>EXP($C$12+$C$8*_xlfn.NORM.S.INV(RAND()))</f>
        <v/>
      </c>
    </row>
    <row r="4685">
      <c r="F4685">
        <f>F4684+1</f>
        <v/>
      </c>
      <c r="G4685" s="92">
        <f>EXP($C$12+$C$8*_xlfn.NORM.S.INV(RAND()))</f>
        <v/>
      </c>
    </row>
    <row r="4686">
      <c r="F4686">
        <f>F4685+1</f>
        <v/>
      </c>
      <c r="G4686" s="92">
        <f>EXP($C$12+$C$8*_xlfn.NORM.S.INV(RAND()))</f>
        <v/>
      </c>
    </row>
    <row r="4687">
      <c r="F4687">
        <f>F4686+1</f>
        <v/>
      </c>
      <c r="G4687" s="92">
        <f>EXP($C$12+$C$8*_xlfn.NORM.S.INV(RAND()))</f>
        <v/>
      </c>
    </row>
    <row r="4688">
      <c r="F4688">
        <f>F4687+1</f>
        <v/>
      </c>
      <c r="G4688" s="92">
        <f>EXP($C$12+$C$8*_xlfn.NORM.S.INV(RAND()))</f>
        <v/>
      </c>
    </row>
    <row r="4689">
      <c r="F4689">
        <f>F4688+1</f>
        <v/>
      </c>
      <c r="G4689" s="92">
        <f>EXP($C$12+$C$8*_xlfn.NORM.S.INV(RAND()))</f>
        <v/>
      </c>
    </row>
    <row r="4690">
      <c r="F4690">
        <f>F4689+1</f>
        <v/>
      </c>
      <c r="G4690" s="92">
        <f>EXP($C$12+$C$8*_xlfn.NORM.S.INV(RAND()))</f>
        <v/>
      </c>
    </row>
    <row r="4691">
      <c r="F4691">
        <f>F4690+1</f>
        <v/>
      </c>
      <c r="G4691" s="92">
        <f>EXP($C$12+$C$8*_xlfn.NORM.S.INV(RAND()))</f>
        <v/>
      </c>
    </row>
    <row r="4692">
      <c r="F4692">
        <f>F4691+1</f>
        <v/>
      </c>
      <c r="G4692" s="92">
        <f>EXP($C$12+$C$8*_xlfn.NORM.S.INV(RAND()))</f>
        <v/>
      </c>
    </row>
    <row r="4693">
      <c r="F4693">
        <f>F4692+1</f>
        <v/>
      </c>
      <c r="G4693" s="92">
        <f>EXP($C$12+$C$8*_xlfn.NORM.S.INV(RAND()))</f>
        <v/>
      </c>
    </row>
    <row r="4694">
      <c r="F4694">
        <f>F4693+1</f>
        <v/>
      </c>
      <c r="G4694" s="92">
        <f>EXP($C$12+$C$8*_xlfn.NORM.S.INV(RAND()))</f>
        <v/>
      </c>
    </row>
    <row r="4695">
      <c r="F4695">
        <f>F4694+1</f>
        <v/>
      </c>
      <c r="G4695" s="92">
        <f>EXP($C$12+$C$8*_xlfn.NORM.S.INV(RAND()))</f>
        <v/>
      </c>
    </row>
    <row r="4696">
      <c r="F4696">
        <f>F4695+1</f>
        <v/>
      </c>
      <c r="G4696" s="92">
        <f>EXP($C$12+$C$8*_xlfn.NORM.S.INV(RAND()))</f>
        <v/>
      </c>
    </row>
    <row r="4697">
      <c r="F4697">
        <f>F4696+1</f>
        <v/>
      </c>
      <c r="G4697" s="92">
        <f>EXP($C$12+$C$8*_xlfn.NORM.S.INV(RAND()))</f>
        <v/>
      </c>
    </row>
    <row r="4698">
      <c r="F4698">
        <f>F4697+1</f>
        <v/>
      </c>
      <c r="G4698" s="92">
        <f>EXP($C$12+$C$8*_xlfn.NORM.S.INV(RAND()))</f>
        <v/>
      </c>
    </row>
    <row r="4699">
      <c r="F4699">
        <f>F4698+1</f>
        <v/>
      </c>
      <c r="G4699" s="92">
        <f>EXP($C$12+$C$8*_xlfn.NORM.S.INV(RAND()))</f>
        <v/>
      </c>
    </row>
    <row r="4700">
      <c r="F4700">
        <f>F4699+1</f>
        <v/>
      </c>
      <c r="G4700" s="92">
        <f>EXP($C$12+$C$8*_xlfn.NORM.S.INV(RAND()))</f>
        <v/>
      </c>
    </row>
    <row r="4701">
      <c r="F4701">
        <f>F4700+1</f>
        <v/>
      </c>
      <c r="G4701" s="92">
        <f>EXP($C$12+$C$8*_xlfn.NORM.S.INV(RAND()))</f>
        <v/>
      </c>
    </row>
    <row r="4702">
      <c r="F4702">
        <f>F4701+1</f>
        <v/>
      </c>
      <c r="G4702" s="92">
        <f>EXP($C$12+$C$8*_xlfn.NORM.S.INV(RAND()))</f>
        <v/>
      </c>
    </row>
    <row r="4703">
      <c r="F4703">
        <f>F4702+1</f>
        <v/>
      </c>
      <c r="G4703" s="92">
        <f>EXP($C$12+$C$8*_xlfn.NORM.S.INV(RAND()))</f>
        <v/>
      </c>
    </row>
    <row r="4704">
      <c r="F4704">
        <f>F4703+1</f>
        <v/>
      </c>
      <c r="G4704" s="92">
        <f>EXP($C$12+$C$8*_xlfn.NORM.S.INV(RAND()))</f>
        <v/>
      </c>
    </row>
    <row r="4705">
      <c r="F4705">
        <f>F4704+1</f>
        <v/>
      </c>
      <c r="G4705" s="92">
        <f>EXP($C$12+$C$8*_xlfn.NORM.S.INV(RAND()))</f>
        <v/>
      </c>
    </row>
    <row r="4706">
      <c r="F4706">
        <f>F4705+1</f>
        <v/>
      </c>
      <c r="G4706" s="92">
        <f>EXP($C$12+$C$8*_xlfn.NORM.S.INV(RAND()))</f>
        <v/>
      </c>
    </row>
    <row r="4707">
      <c r="F4707">
        <f>F4706+1</f>
        <v/>
      </c>
      <c r="G4707" s="92">
        <f>EXP($C$12+$C$8*_xlfn.NORM.S.INV(RAND()))</f>
        <v/>
      </c>
    </row>
    <row r="4708">
      <c r="F4708">
        <f>F4707+1</f>
        <v/>
      </c>
      <c r="G4708" s="92">
        <f>EXP($C$12+$C$8*_xlfn.NORM.S.INV(RAND()))</f>
        <v/>
      </c>
    </row>
    <row r="4709">
      <c r="F4709">
        <f>F4708+1</f>
        <v/>
      </c>
      <c r="G4709" s="92">
        <f>EXP($C$12+$C$8*_xlfn.NORM.S.INV(RAND()))</f>
        <v/>
      </c>
    </row>
    <row r="4710">
      <c r="F4710">
        <f>F4709+1</f>
        <v/>
      </c>
      <c r="G4710" s="92">
        <f>EXP($C$12+$C$8*_xlfn.NORM.S.INV(RAND()))</f>
        <v/>
      </c>
    </row>
    <row r="4711">
      <c r="F4711">
        <f>F4710+1</f>
        <v/>
      </c>
      <c r="G4711" s="92">
        <f>EXP($C$12+$C$8*_xlfn.NORM.S.INV(RAND()))</f>
        <v/>
      </c>
    </row>
    <row r="4712">
      <c r="F4712">
        <f>F4711+1</f>
        <v/>
      </c>
      <c r="G4712" s="92">
        <f>EXP($C$12+$C$8*_xlfn.NORM.S.INV(RAND()))</f>
        <v/>
      </c>
    </row>
    <row r="4713">
      <c r="F4713">
        <f>F4712+1</f>
        <v/>
      </c>
      <c r="G4713" s="92">
        <f>EXP($C$12+$C$8*_xlfn.NORM.S.INV(RAND()))</f>
        <v/>
      </c>
    </row>
    <row r="4714">
      <c r="F4714">
        <f>F4713+1</f>
        <v/>
      </c>
      <c r="G4714" s="92">
        <f>EXP($C$12+$C$8*_xlfn.NORM.S.INV(RAND()))</f>
        <v/>
      </c>
    </row>
    <row r="4715">
      <c r="F4715">
        <f>F4714+1</f>
        <v/>
      </c>
      <c r="G4715" s="92">
        <f>EXP($C$12+$C$8*_xlfn.NORM.S.INV(RAND()))</f>
        <v/>
      </c>
    </row>
    <row r="4716">
      <c r="F4716">
        <f>F4715+1</f>
        <v/>
      </c>
      <c r="G4716" s="92">
        <f>EXP($C$12+$C$8*_xlfn.NORM.S.INV(RAND()))</f>
        <v/>
      </c>
    </row>
    <row r="4717">
      <c r="F4717">
        <f>F4716+1</f>
        <v/>
      </c>
      <c r="G4717" s="92">
        <f>EXP($C$12+$C$8*_xlfn.NORM.S.INV(RAND()))</f>
        <v/>
      </c>
    </row>
    <row r="4718">
      <c r="F4718">
        <f>F4717+1</f>
        <v/>
      </c>
      <c r="G4718" s="92">
        <f>EXP($C$12+$C$8*_xlfn.NORM.S.INV(RAND()))</f>
        <v/>
      </c>
    </row>
    <row r="4719">
      <c r="F4719">
        <f>F4718+1</f>
        <v/>
      </c>
      <c r="G4719" s="92">
        <f>EXP($C$12+$C$8*_xlfn.NORM.S.INV(RAND()))</f>
        <v/>
      </c>
    </row>
    <row r="4720">
      <c r="F4720">
        <f>F4719+1</f>
        <v/>
      </c>
      <c r="G4720" s="92">
        <f>EXP($C$12+$C$8*_xlfn.NORM.S.INV(RAND()))</f>
        <v/>
      </c>
    </row>
    <row r="4721">
      <c r="F4721">
        <f>F4720+1</f>
        <v/>
      </c>
      <c r="G4721" s="92">
        <f>EXP($C$12+$C$8*_xlfn.NORM.S.INV(RAND()))</f>
        <v/>
      </c>
    </row>
    <row r="4722">
      <c r="F4722">
        <f>F4721+1</f>
        <v/>
      </c>
      <c r="G4722" s="92">
        <f>EXP($C$12+$C$8*_xlfn.NORM.S.INV(RAND()))</f>
        <v/>
      </c>
    </row>
    <row r="4723">
      <c r="F4723">
        <f>F4722+1</f>
        <v/>
      </c>
      <c r="G4723" s="92">
        <f>EXP($C$12+$C$8*_xlfn.NORM.S.INV(RAND()))</f>
        <v/>
      </c>
    </row>
    <row r="4724">
      <c r="F4724">
        <f>F4723+1</f>
        <v/>
      </c>
      <c r="G4724" s="92">
        <f>EXP($C$12+$C$8*_xlfn.NORM.S.INV(RAND()))</f>
        <v/>
      </c>
    </row>
    <row r="4725">
      <c r="F4725">
        <f>F4724+1</f>
        <v/>
      </c>
      <c r="G4725" s="92">
        <f>EXP($C$12+$C$8*_xlfn.NORM.S.INV(RAND()))</f>
        <v/>
      </c>
    </row>
    <row r="4726">
      <c r="F4726">
        <f>F4725+1</f>
        <v/>
      </c>
      <c r="G4726" s="92">
        <f>EXP($C$12+$C$8*_xlfn.NORM.S.INV(RAND()))</f>
        <v/>
      </c>
    </row>
    <row r="4727">
      <c r="F4727">
        <f>F4726+1</f>
        <v/>
      </c>
      <c r="G4727" s="92">
        <f>EXP($C$12+$C$8*_xlfn.NORM.S.INV(RAND()))</f>
        <v/>
      </c>
    </row>
    <row r="4728">
      <c r="F4728">
        <f>F4727+1</f>
        <v/>
      </c>
      <c r="G4728" s="92">
        <f>EXP($C$12+$C$8*_xlfn.NORM.S.INV(RAND()))</f>
        <v/>
      </c>
    </row>
    <row r="4729">
      <c r="F4729">
        <f>F4728+1</f>
        <v/>
      </c>
      <c r="G4729" s="92">
        <f>EXP($C$12+$C$8*_xlfn.NORM.S.INV(RAND()))</f>
        <v/>
      </c>
    </row>
    <row r="4730">
      <c r="F4730">
        <f>F4729+1</f>
        <v/>
      </c>
      <c r="G4730" s="92">
        <f>EXP($C$12+$C$8*_xlfn.NORM.S.INV(RAND()))</f>
        <v/>
      </c>
    </row>
    <row r="4731">
      <c r="F4731">
        <f>F4730+1</f>
        <v/>
      </c>
      <c r="G4731" s="92">
        <f>EXP($C$12+$C$8*_xlfn.NORM.S.INV(RAND()))</f>
        <v/>
      </c>
    </row>
    <row r="4732">
      <c r="F4732">
        <f>F4731+1</f>
        <v/>
      </c>
      <c r="G4732" s="92">
        <f>EXP($C$12+$C$8*_xlfn.NORM.S.INV(RAND()))</f>
        <v/>
      </c>
    </row>
    <row r="4733">
      <c r="F4733">
        <f>F4732+1</f>
        <v/>
      </c>
      <c r="G4733" s="92">
        <f>EXP($C$12+$C$8*_xlfn.NORM.S.INV(RAND()))</f>
        <v/>
      </c>
    </row>
    <row r="4734">
      <c r="F4734">
        <f>F4733+1</f>
        <v/>
      </c>
      <c r="G4734" s="92">
        <f>EXP($C$12+$C$8*_xlfn.NORM.S.INV(RAND()))</f>
        <v/>
      </c>
    </row>
    <row r="4735">
      <c r="F4735">
        <f>F4734+1</f>
        <v/>
      </c>
      <c r="G4735" s="92">
        <f>EXP($C$12+$C$8*_xlfn.NORM.S.INV(RAND()))</f>
        <v/>
      </c>
    </row>
    <row r="4736">
      <c r="F4736">
        <f>F4735+1</f>
        <v/>
      </c>
      <c r="G4736" s="92">
        <f>EXP($C$12+$C$8*_xlfn.NORM.S.INV(RAND()))</f>
        <v/>
      </c>
    </row>
    <row r="4737">
      <c r="F4737">
        <f>F4736+1</f>
        <v/>
      </c>
      <c r="G4737" s="92">
        <f>EXP($C$12+$C$8*_xlfn.NORM.S.INV(RAND()))</f>
        <v/>
      </c>
    </row>
    <row r="4738">
      <c r="F4738">
        <f>F4737+1</f>
        <v/>
      </c>
      <c r="G4738" s="92">
        <f>EXP($C$12+$C$8*_xlfn.NORM.S.INV(RAND()))</f>
        <v/>
      </c>
    </row>
    <row r="4739">
      <c r="F4739">
        <f>F4738+1</f>
        <v/>
      </c>
      <c r="G4739" s="92">
        <f>EXP($C$12+$C$8*_xlfn.NORM.S.INV(RAND()))</f>
        <v/>
      </c>
    </row>
    <row r="4740">
      <c r="F4740">
        <f>F4739+1</f>
        <v/>
      </c>
      <c r="G4740" s="92">
        <f>EXP($C$12+$C$8*_xlfn.NORM.S.INV(RAND()))</f>
        <v/>
      </c>
    </row>
    <row r="4741">
      <c r="F4741">
        <f>F4740+1</f>
        <v/>
      </c>
      <c r="G4741" s="92">
        <f>EXP($C$12+$C$8*_xlfn.NORM.S.INV(RAND()))</f>
        <v/>
      </c>
    </row>
    <row r="4742">
      <c r="F4742">
        <f>F4741+1</f>
        <v/>
      </c>
      <c r="G4742" s="92">
        <f>EXP($C$12+$C$8*_xlfn.NORM.S.INV(RAND()))</f>
        <v/>
      </c>
    </row>
    <row r="4743">
      <c r="F4743">
        <f>F4742+1</f>
        <v/>
      </c>
      <c r="G4743" s="92">
        <f>EXP($C$12+$C$8*_xlfn.NORM.S.INV(RAND()))</f>
        <v/>
      </c>
    </row>
    <row r="4744">
      <c r="F4744">
        <f>F4743+1</f>
        <v/>
      </c>
      <c r="G4744" s="92">
        <f>EXP($C$12+$C$8*_xlfn.NORM.S.INV(RAND()))</f>
        <v/>
      </c>
    </row>
    <row r="4745">
      <c r="F4745">
        <f>F4744+1</f>
        <v/>
      </c>
      <c r="G4745" s="92">
        <f>EXP($C$12+$C$8*_xlfn.NORM.S.INV(RAND()))</f>
        <v/>
      </c>
    </row>
    <row r="4746">
      <c r="F4746">
        <f>F4745+1</f>
        <v/>
      </c>
      <c r="G4746" s="92">
        <f>EXP($C$12+$C$8*_xlfn.NORM.S.INV(RAND()))</f>
        <v/>
      </c>
    </row>
    <row r="4747">
      <c r="F4747">
        <f>F4746+1</f>
        <v/>
      </c>
      <c r="G4747" s="92">
        <f>EXP($C$12+$C$8*_xlfn.NORM.S.INV(RAND()))</f>
        <v/>
      </c>
    </row>
    <row r="4748">
      <c r="F4748">
        <f>F4747+1</f>
        <v/>
      </c>
      <c r="G4748" s="92">
        <f>EXP($C$12+$C$8*_xlfn.NORM.S.INV(RAND()))</f>
        <v/>
      </c>
    </row>
    <row r="4749">
      <c r="F4749">
        <f>F4748+1</f>
        <v/>
      </c>
      <c r="G4749" s="92">
        <f>EXP($C$12+$C$8*_xlfn.NORM.S.INV(RAND()))</f>
        <v/>
      </c>
    </row>
    <row r="4750">
      <c r="F4750">
        <f>F4749+1</f>
        <v/>
      </c>
      <c r="G4750" s="92">
        <f>EXP($C$12+$C$8*_xlfn.NORM.S.INV(RAND()))</f>
        <v/>
      </c>
    </row>
    <row r="4751">
      <c r="F4751">
        <f>F4750+1</f>
        <v/>
      </c>
      <c r="G4751" s="92">
        <f>EXP($C$12+$C$8*_xlfn.NORM.S.INV(RAND()))</f>
        <v/>
      </c>
    </row>
    <row r="4752">
      <c r="F4752">
        <f>F4751+1</f>
        <v/>
      </c>
      <c r="G4752" s="92">
        <f>EXP($C$12+$C$8*_xlfn.NORM.S.INV(RAND()))</f>
        <v/>
      </c>
    </row>
    <row r="4753">
      <c r="F4753">
        <f>F4752+1</f>
        <v/>
      </c>
      <c r="G4753" s="92">
        <f>EXP($C$12+$C$8*_xlfn.NORM.S.INV(RAND()))</f>
        <v/>
      </c>
    </row>
    <row r="4754">
      <c r="F4754">
        <f>F4753+1</f>
        <v/>
      </c>
      <c r="G4754" s="92">
        <f>EXP($C$12+$C$8*_xlfn.NORM.S.INV(RAND()))</f>
        <v/>
      </c>
    </row>
    <row r="4755">
      <c r="F4755">
        <f>F4754+1</f>
        <v/>
      </c>
      <c r="G4755" s="92">
        <f>EXP($C$12+$C$8*_xlfn.NORM.S.INV(RAND()))</f>
        <v/>
      </c>
    </row>
    <row r="4756">
      <c r="F4756">
        <f>F4755+1</f>
        <v/>
      </c>
      <c r="G4756" s="92">
        <f>EXP($C$12+$C$8*_xlfn.NORM.S.INV(RAND()))</f>
        <v/>
      </c>
    </row>
    <row r="4757">
      <c r="F4757">
        <f>F4756+1</f>
        <v/>
      </c>
      <c r="G4757" s="92">
        <f>EXP($C$12+$C$8*_xlfn.NORM.S.INV(RAND()))</f>
        <v/>
      </c>
    </row>
    <row r="4758">
      <c r="F4758">
        <f>F4757+1</f>
        <v/>
      </c>
      <c r="G4758" s="92">
        <f>EXP($C$12+$C$8*_xlfn.NORM.S.INV(RAND()))</f>
        <v/>
      </c>
    </row>
    <row r="4759">
      <c r="F4759">
        <f>F4758+1</f>
        <v/>
      </c>
      <c r="G4759" s="92">
        <f>EXP($C$12+$C$8*_xlfn.NORM.S.INV(RAND()))</f>
        <v/>
      </c>
    </row>
    <row r="4760">
      <c r="F4760">
        <f>F4759+1</f>
        <v/>
      </c>
      <c r="G4760" s="92">
        <f>EXP($C$12+$C$8*_xlfn.NORM.S.INV(RAND()))</f>
        <v/>
      </c>
    </row>
    <row r="4761">
      <c r="F4761">
        <f>F4760+1</f>
        <v/>
      </c>
      <c r="G4761" s="92">
        <f>EXP($C$12+$C$8*_xlfn.NORM.S.INV(RAND()))</f>
        <v/>
      </c>
    </row>
    <row r="4762">
      <c r="F4762">
        <f>F4761+1</f>
        <v/>
      </c>
      <c r="G4762" s="92">
        <f>EXP($C$12+$C$8*_xlfn.NORM.S.INV(RAND()))</f>
        <v/>
      </c>
    </row>
    <row r="4763">
      <c r="F4763">
        <f>F4762+1</f>
        <v/>
      </c>
      <c r="G4763" s="92">
        <f>EXP($C$12+$C$8*_xlfn.NORM.S.INV(RAND()))</f>
        <v/>
      </c>
    </row>
    <row r="4764">
      <c r="F4764">
        <f>F4763+1</f>
        <v/>
      </c>
      <c r="G4764" s="92">
        <f>EXP($C$12+$C$8*_xlfn.NORM.S.INV(RAND()))</f>
        <v/>
      </c>
    </row>
    <row r="4765">
      <c r="F4765">
        <f>F4764+1</f>
        <v/>
      </c>
      <c r="G4765" s="92">
        <f>EXP($C$12+$C$8*_xlfn.NORM.S.INV(RAND()))</f>
        <v/>
      </c>
    </row>
    <row r="4766">
      <c r="F4766">
        <f>F4765+1</f>
        <v/>
      </c>
      <c r="G4766" s="92">
        <f>EXP($C$12+$C$8*_xlfn.NORM.S.INV(RAND()))</f>
        <v/>
      </c>
    </row>
    <row r="4767">
      <c r="F4767">
        <f>F4766+1</f>
        <v/>
      </c>
      <c r="G4767" s="92">
        <f>EXP($C$12+$C$8*_xlfn.NORM.S.INV(RAND()))</f>
        <v/>
      </c>
    </row>
    <row r="4768">
      <c r="F4768">
        <f>F4767+1</f>
        <v/>
      </c>
      <c r="G4768" s="92">
        <f>EXP($C$12+$C$8*_xlfn.NORM.S.INV(RAND()))</f>
        <v/>
      </c>
    </row>
    <row r="4769">
      <c r="F4769">
        <f>F4768+1</f>
        <v/>
      </c>
      <c r="G4769" s="92">
        <f>EXP($C$12+$C$8*_xlfn.NORM.S.INV(RAND()))</f>
        <v/>
      </c>
    </row>
    <row r="4770">
      <c r="F4770">
        <f>F4769+1</f>
        <v/>
      </c>
      <c r="G4770" s="92">
        <f>EXP($C$12+$C$8*_xlfn.NORM.S.INV(RAND()))</f>
        <v/>
      </c>
    </row>
    <row r="4771">
      <c r="F4771">
        <f>F4770+1</f>
        <v/>
      </c>
      <c r="G4771" s="92">
        <f>EXP($C$12+$C$8*_xlfn.NORM.S.INV(RAND()))</f>
        <v/>
      </c>
    </row>
    <row r="4772">
      <c r="F4772">
        <f>F4771+1</f>
        <v/>
      </c>
      <c r="G4772" s="92">
        <f>EXP($C$12+$C$8*_xlfn.NORM.S.INV(RAND()))</f>
        <v/>
      </c>
    </row>
    <row r="4773">
      <c r="F4773">
        <f>F4772+1</f>
        <v/>
      </c>
      <c r="G4773" s="92">
        <f>EXP($C$12+$C$8*_xlfn.NORM.S.INV(RAND()))</f>
        <v/>
      </c>
    </row>
    <row r="4774">
      <c r="F4774">
        <f>F4773+1</f>
        <v/>
      </c>
      <c r="G4774" s="92">
        <f>EXP($C$12+$C$8*_xlfn.NORM.S.INV(RAND()))</f>
        <v/>
      </c>
    </row>
    <row r="4775">
      <c r="F4775">
        <f>F4774+1</f>
        <v/>
      </c>
      <c r="G4775" s="92">
        <f>EXP($C$12+$C$8*_xlfn.NORM.S.INV(RAND()))</f>
        <v/>
      </c>
    </row>
    <row r="4776">
      <c r="F4776">
        <f>F4775+1</f>
        <v/>
      </c>
      <c r="G4776" s="92">
        <f>EXP($C$12+$C$8*_xlfn.NORM.S.INV(RAND()))</f>
        <v/>
      </c>
    </row>
    <row r="4777">
      <c r="F4777">
        <f>F4776+1</f>
        <v/>
      </c>
      <c r="G4777" s="92">
        <f>EXP($C$12+$C$8*_xlfn.NORM.S.INV(RAND()))</f>
        <v/>
      </c>
    </row>
    <row r="4778">
      <c r="F4778">
        <f>F4777+1</f>
        <v/>
      </c>
      <c r="G4778" s="92">
        <f>EXP($C$12+$C$8*_xlfn.NORM.S.INV(RAND()))</f>
        <v/>
      </c>
    </row>
    <row r="4779">
      <c r="F4779">
        <f>F4778+1</f>
        <v/>
      </c>
      <c r="G4779" s="92">
        <f>EXP($C$12+$C$8*_xlfn.NORM.S.INV(RAND()))</f>
        <v/>
      </c>
    </row>
    <row r="4780">
      <c r="F4780">
        <f>F4779+1</f>
        <v/>
      </c>
      <c r="G4780" s="92">
        <f>EXP($C$12+$C$8*_xlfn.NORM.S.INV(RAND()))</f>
        <v/>
      </c>
    </row>
    <row r="4781">
      <c r="F4781">
        <f>F4780+1</f>
        <v/>
      </c>
      <c r="G4781" s="92">
        <f>EXP($C$12+$C$8*_xlfn.NORM.S.INV(RAND()))</f>
        <v/>
      </c>
    </row>
    <row r="4782">
      <c r="F4782">
        <f>F4781+1</f>
        <v/>
      </c>
      <c r="G4782" s="92">
        <f>EXP($C$12+$C$8*_xlfn.NORM.S.INV(RAND()))</f>
        <v/>
      </c>
    </row>
    <row r="4783">
      <c r="F4783">
        <f>F4782+1</f>
        <v/>
      </c>
      <c r="G4783" s="92">
        <f>EXP($C$12+$C$8*_xlfn.NORM.S.INV(RAND()))</f>
        <v/>
      </c>
    </row>
    <row r="4784">
      <c r="F4784">
        <f>F4783+1</f>
        <v/>
      </c>
      <c r="G4784" s="92">
        <f>EXP($C$12+$C$8*_xlfn.NORM.S.INV(RAND()))</f>
        <v/>
      </c>
    </row>
    <row r="4785">
      <c r="F4785">
        <f>F4784+1</f>
        <v/>
      </c>
      <c r="G4785" s="92">
        <f>EXP($C$12+$C$8*_xlfn.NORM.S.INV(RAND()))</f>
        <v/>
      </c>
    </row>
    <row r="4786">
      <c r="F4786">
        <f>F4785+1</f>
        <v/>
      </c>
      <c r="G4786" s="92">
        <f>EXP($C$12+$C$8*_xlfn.NORM.S.INV(RAND()))</f>
        <v/>
      </c>
    </row>
    <row r="4787">
      <c r="F4787">
        <f>F4786+1</f>
        <v/>
      </c>
      <c r="G4787" s="92">
        <f>EXP($C$12+$C$8*_xlfn.NORM.S.INV(RAND()))</f>
        <v/>
      </c>
    </row>
    <row r="4788">
      <c r="F4788">
        <f>F4787+1</f>
        <v/>
      </c>
      <c r="G4788" s="92">
        <f>EXP($C$12+$C$8*_xlfn.NORM.S.INV(RAND()))</f>
        <v/>
      </c>
    </row>
    <row r="4789">
      <c r="F4789">
        <f>F4788+1</f>
        <v/>
      </c>
      <c r="G4789" s="92">
        <f>EXP($C$12+$C$8*_xlfn.NORM.S.INV(RAND()))</f>
        <v/>
      </c>
    </row>
    <row r="4790">
      <c r="F4790">
        <f>F4789+1</f>
        <v/>
      </c>
      <c r="G4790" s="92">
        <f>EXP($C$12+$C$8*_xlfn.NORM.S.INV(RAND()))</f>
        <v/>
      </c>
    </row>
    <row r="4791">
      <c r="F4791">
        <f>F4790+1</f>
        <v/>
      </c>
      <c r="G4791" s="92">
        <f>EXP($C$12+$C$8*_xlfn.NORM.S.INV(RAND()))</f>
        <v/>
      </c>
    </row>
    <row r="4792">
      <c r="F4792">
        <f>F4791+1</f>
        <v/>
      </c>
      <c r="G4792" s="92">
        <f>EXP($C$12+$C$8*_xlfn.NORM.S.INV(RAND()))</f>
        <v/>
      </c>
    </row>
    <row r="4793">
      <c r="F4793">
        <f>F4792+1</f>
        <v/>
      </c>
      <c r="G4793" s="92">
        <f>EXP($C$12+$C$8*_xlfn.NORM.S.INV(RAND()))</f>
        <v/>
      </c>
    </row>
    <row r="4794">
      <c r="F4794">
        <f>F4793+1</f>
        <v/>
      </c>
      <c r="G4794" s="92">
        <f>EXP($C$12+$C$8*_xlfn.NORM.S.INV(RAND()))</f>
        <v/>
      </c>
    </row>
    <row r="4795">
      <c r="F4795">
        <f>F4794+1</f>
        <v/>
      </c>
      <c r="G4795" s="92">
        <f>EXP($C$12+$C$8*_xlfn.NORM.S.INV(RAND()))</f>
        <v/>
      </c>
    </row>
    <row r="4796">
      <c r="F4796">
        <f>F4795+1</f>
        <v/>
      </c>
      <c r="G4796" s="92">
        <f>EXP($C$12+$C$8*_xlfn.NORM.S.INV(RAND()))</f>
        <v/>
      </c>
    </row>
    <row r="4797">
      <c r="F4797">
        <f>F4796+1</f>
        <v/>
      </c>
      <c r="G4797" s="92">
        <f>EXP($C$12+$C$8*_xlfn.NORM.S.INV(RAND()))</f>
        <v/>
      </c>
    </row>
    <row r="4798">
      <c r="F4798">
        <f>F4797+1</f>
        <v/>
      </c>
      <c r="G4798" s="92">
        <f>EXP($C$12+$C$8*_xlfn.NORM.S.INV(RAND()))</f>
        <v/>
      </c>
    </row>
    <row r="4799">
      <c r="F4799">
        <f>F4798+1</f>
        <v/>
      </c>
      <c r="G4799" s="92">
        <f>EXP($C$12+$C$8*_xlfn.NORM.S.INV(RAND()))</f>
        <v/>
      </c>
    </row>
    <row r="4800">
      <c r="F4800">
        <f>F4799+1</f>
        <v/>
      </c>
      <c r="G4800" s="92">
        <f>EXP($C$12+$C$8*_xlfn.NORM.S.INV(RAND()))</f>
        <v/>
      </c>
    </row>
    <row r="4801">
      <c r="F4801">
        <f>F4800+1</f>
        <v/>
      </c>
      <c r="G4801" s="92">
        <f>EXP($C$12+$C$8*_xlfn.NORM.S.INV(RAND()))</f>
        <v/>
      </c>
    </row>
    <row r="4802">
      <c r="F4802">
        <f>F4801+1</f>
        <v/>
      </c>
      <c r="G4802" s="92">
        <f>EXP($C$12+$C$8*_xlfn.NORM.S.INV(RAND()))</f>
        <v/>
      </c>
    </row>
    <row r="4803">
      <c r="F4803">
        <f>F4802+1</f>
        <v/>
      </c>
      <c r="G4803" s="92">
        <f>EXP($C$12+$C$8*_xlfn.NORM.S.INV(RAND()))</f>
        <v/>
      </c>
    </row>
    <row r="4804">
      <c r="F4804">
        <f>F4803+1</f>
        <v/>
      </c>
      <c r="G4804" s="92">
        <f>EXP($C$12+$C$8*_xlfn.NORM.S.INV(RAND()))</f>
        <v/>
      </c>
    </row>
    <row r="4805">
      <c r="F4805">
        <f>F4804+1</f>
        <v/>
      </c>
      <c r="G4805" s="92">
        <f>EXP($C$12+$C$8*_xlfn.NORM.S.INV(RAND()))</f>
        <v/>
      </c>
    </row>
    <row r="4806">
      <c r="F4806">
        <f>F4805+1</f>
        <v/>
      </c>
      <c r="G4806" s="92">
        <f>EXP($C$12+$C$8*_xlfn.NORM.S.INV(RAND()))</f>
        <v/>
      </c>
    </row>
    <row r="4807">
      <c r="F4807">
        <f>F4806+1</f>
        <v/>
      </c>
      <c r="G4807" s="92">
        <f>EXP($C$12+$C$8*_xlfn.NORM.S.INV(RAND()))</f>
        <v/>
      </c>
    </row>
    <row r="4808">
      <c r="F4808">
        <f>F4807+1</f>
        <v/>
      </c>
      <c r="G4808" s="92">
        <f>EXP($C$12+$C$8*_xlfn.NORM.S.INV(RAND()))</f>
        <v/>
      </c>
    </row>
    <row r="4809">
      <c r="F4809">
        <f>F4808+1</f>
        <v/>
      </c>
      <c r="G4809" s="92">
        <f>EXP($C$12+$C$8*_xlfn.NORM.S.INV(RAND()))</f>
        <v/>
      </c>
    </row>
    <row r="4810">
      <c r="F4810">
        <f>F4809+1</f>
        <v/>
      </c>
      <c r="G4810" s="92">
        <f>EXP($C$12+$C$8*_xlfn.NORM.S.INV(RAND()))</f>
        <v/>
      </c>
    </row>
    <row r="4811">
      <c r="F4811">
        <f>F4810+1</f>
        <v/>
      </c>
      <c r="G4811" s="92">
        <f>EXP($C$12+$C$8*_xlfn.NORM.S.INV(RAND()))</f>
        <v/>
      </c>
    </row>
    <row r="4812">
      <c r="F4812">
        <f>F4811+1</f>
        <v/>
      </c>
      <c r="G4812" s="92">
        <f>EXP($C$12+$C$8*_xlfn.NORM.S.INV(RAND()))</f>
        <v/>
      </c>
    </row>
    <row r="4813">
      <c r="F4813">
        <f>F4812+1</f>
        <v/>
      </c>
      <c r="G4813" s="92">
        <f>EXP($C$12+$C$8*_xlfn.NORM.S.INV(RAND()))</f>
        <v/>
      </c>
    </row>
    <row r="4814">
      <c r="F4814">
        <f>F4813+1</f>
        <v/>
      </c>
      <c r="G4814" s="92">
        <f>EXP($C$12+$C$8*_xlfn.NORM.S.INV(RAND()))</f>
        <v/>
      </c>
    </row>
    <row r="4815">
      <c r="F4815">
        <f>F4814+1</f>
        <v/>
      </c>
      <c r="G4815" s="92">
        <f>EXP($C$12+$C$8*_xlfn.NORM.S.INV(RAND()))</f>
        <v/>
      </c>
    </row>
    <row r="4816">
      <c r="F4816">
        <f>F4815+1</f>
        <v/>
      </c>
      <c r="G4816" s="92">
        <f>EXP($C$12+$C$8*_xlfn.NORM.S.INV(RAND()))</f>
        <v/>
      </c>
    </row>
    <row r="4817">
      <c r="F4817">
        <f>F4816+1</f>
        <v/>
      </c>
      <c r="G4817" s="92">
        <f>EXP($C$12+$C$8*_xlfn.NORM.S.INV(RAND()))</f>
        <v/>
      </c>
    </row>
    <row r="4818">
      <c r="F4818">
        <f>F4817+1</f>
        <v/>
      </c>
      <c r="G4818" s="92">
        <f>EXP($C$12+$C$8*_xlfn.NORM.S.INV(RAND()))</f>
        <v/>
      </c>
    </row>
    <row r="4819">
      <c r="F4819">
        <f>F4818+1</f>
        <v/>
      </c>
      <c r="G4819" s="92">
        <f>EXP($C$12+$C$8*_xlfn.NORM.S.INV(RAND()))</f>
        <v/>
      </c>
    </row>
    <row r="4820">
      <c r="F4820">
        <f>F4819+1</f>
        <v/>
      </c>
      <c r="G4820" s="92">
        <f>EXP($C$12+$C$8*_xlfn.NORM.S.INV(RAND()))</f>
        <v/>
      </c>
    </row>
    <row r="4821">
      <c r="F4821">
        <f>F4820+1</f>
        <v/>
      </c>
      <c r="G4821" s="92">
        <f>EXP($C$12+$C$8*_xlfn.NORM.S.INV(RAND()))</f>
        <v/>
      </c>
    </row>
    <row r="4822">
      <c r="F4822">
        <f>F4821+1</f>
        <v/>
      </c>
      <c r="G4822" s="92">
        <f>EXP($C$12+$C$8*_xlfn.NORM.S.INV(RAND()))</f>
        <v/>
      </c>
    </row>
    <row r="4823">
      <c r="F4823">
        <f>F4822+1</f>
        <v/>
      </c>
      <c r="G4823" s="92">
        <f>EXP($C$12+$C$8*_xlfn.NORM.S.INV(RAND()))</f>
        <v/>
      </c>
    </row>
    <row r="4824">
      <c r="F4824">
        <f>F4823+1</f>
        <v/>
      </c>
      <c r="G4824" s="92">
        <f>EXP($C$12+$C$8*_xlfn.NORM.S.INV(RAND()))</f>
        <v/>
      </c>
    </row>
    <row r="4825">
      <c r="F4825">
        <f>F4824+1</f>
        <v/>
      </c>
      <c r="G4825" s="92">
        <f>EXP($C$12+$C$8*_xlfn.NORM.S.INV(RAND()))</f>
        <v/>
      </c>
    </row>
    <row r="4826">
      <c r="F4826">
        <f>F4825+1</f>
        <v/>
      </c>
      <c r="G4826" s="92">
        <f>EXP($C$12+$C$8*_xlfn.NORM.S.INV(RAND()))</f>
        <v/>
      </c>
    </row>
    <row r="4827">
      <c r="F4827">
        <f>F4826+1</f>
        <v/>
      </c>
      <c r="G4827" s="92">
        <f>EXP($C$12+$C$8*_xlfn.NORM.S.INV(RAND()))</f>
        <v/>
      </c>
    </row>
    <row r="4828">
      <c r="F4828">
        <f>F4827+1</f>
        <v/>
      </c>
      <c r="G4828" s="92">
        <f>EXP($C$12+$C$8*_xlfn.NORM.S.INV(RAND()))</f>
        <v/>
      </c>
    </row>
    <row r="4829">
      <c r="F4829">
        <f>F4828+1</f>
        <v/>
      </c>
      <c r="G4829" s="92">
        <f>EXP($C$12+$C$8*_xlfn.NORM.S.INV(RAND()))</f>
        <v/>
      </c>
    </row>
    <row r="4830">
      <c r="F4830">
        <f>F4829+1</f>
        <v/>
      </c>
      <c r="G4830" s="92">
        <f>EXP($C$12+$C$8*_xlfn.NORM.S.INV(RAND()))</f>
        <v/>
      </c>
    </row>
    <row r="4831">
      <c r="F4831">
        <f>F4830+1</f>
        <v/>
      </c>
      <c r="G4831" s="92">
        <f>EXP($C$12+$C$8*_xlfn.NORM.S.INV(RAND()))</f>
        <v/>
      </c>
    </row>
    <row r="4832">
      <c r="F4832">
        <f>F4831+1</f>
        <v/>
      </c>
      <c r="G4832" s="92">
        <f>EXP($C$12+$C$8*_xlfn.NORM.S.INV(RAND()))</f>
        <v/>
      </c>
    </row>
    <row r="4833">
      <c r="F4833">
        <f>F4832+1</f>
        <v/>
      </c>
      <c r="G4833" s="92">
        <f>EXP($C$12+$C$8*_xlfn.NORM.S.INV(RAND()))</f>
        <v/>
      </c>
    </row>
    <row r="4834">
      <c r="F4834">
        <f>F4833+1</f>
        <v/>
      </c>
      <c r="G4834" s="92">
        <f>EXP($C$12+$C$8*_xlfn.NORM.S.INV(RAND()))</f>
        <v/>
      </c>
    </row>
    <row r="4835">
      <c r="F4835">
        <f>F4834+1</f>
        <v/>
      </c>
      <c r="G4835" s="92">
        <f>EXP($C$12+$C$8*_xlfn.NORM.S.INV(RAND()))</f>
        <v/>
      </c>
    </row>
    <row r="4836">
      <c r="F4836">
        <f>F4835+1</f>
        <v/>
      </c>
      <c r="G4836" s="92">
        <f>EXP($C$12+$C$8*_xlfn.NORM.S.INV(RAND()))</f>
        <v/>
      </c>
    </row>
    <row r="4837">
      <c r="F4837">
        <f>F4836+1</f>
        <v/>
      </c>
      <c r="G4837" s="92">
        <f>EXP($C$12+$C$8*_xlfn.NORM.S.INV(RAND()))</f>
        <v/>
      </c>
    </row>
    <row r="4838">
      <c r="F4838">
        <f>F4837+1</f>
        <v/>
      </c>
      <c r="G4838" s="92">
        <f>EXP($C$12+$C$8*_xlfn.NORM.S.INV(RAND()))</f>
        <v/>
      </c>
    </row>
    <row r="4839">
      <c r="F4839">
        <f>F4838+1</f>
        <v/>
      </c>
      <c r="G4839" s="92">
        <f>EXP($C$12+$C$8*_xlfn.NORM.S.INV(RAND()))</f>
        <v/>
      </c>
    </row>
    <row r="4840">
      <c r="F4840">
        <f>F4839+1</f>
        <v/>
      </c>
      <c r="G4840" s="92">
        <f>EXP($C$12+$C$8*_xlfn.NORM.S.INV(RAND()))</f>
        <v/>
      </c>
    </row>
    <row r="4841">
      <c r="F4841">
        <f>F4840+1</f>
        <v/>
      </c>
      <c r="G4841" s="92">
        <f>EXP($C$12+$C$8*_xlfn.NORM.S.INV(RAND()))</f>
        <v/>
      </c>
    </row>
    <row r="4842">
      <c r="F4842">
        <f>F4841+1</f>
        <v/>
      </c>
      <c r="G4842" s="92">
        <f>EXP($C$12+$C$8*_xlfn.NORM.S.INV(RAND()))</f>
        <v/>
      </c>
    </row>
    <row r="4843">
      <c r="F4843">
        <f>F4842+1</f>
        <v/>
      </c>
      <c r="G4843" s="92">
        <f>EXP($C$12+$C$8*_xlfn.NORM.S.INV(RAND()))</f>
        <v/>
      </c>
    </row>
    <row r="4844">
      <c r="F4844">
        <f>F4843+1</f>
        <v/>
      </c>
      <c r="G4844" s="92">
        <f>EXP($C$12+$C$8*_xlfn.NORM.S.INV(RAND()))</f>
        <v/>
      </c>
    </row>
    <row r="4845">
      <c r="F4845">
        <f>F4844+1</f>
        <v/>
      </c>
      <c r="G4845" s="92">
        <f>EXP($C$12+$C$8*_xlfn.NORM.S.INV(RAND()))</f>
        <v/>
      </c>
    </row>
    <row r="4846">
      <c r="F4846">
        <f>F4845+1</f>
        <v/>
      </c>
      <c r="G4846" s="92">
        <f>EXP($C$12+$C$8*_xlfn.NORM.S.INV(RAND()))</f>
        <v/>
      </c>
    </row>
    <row r="4847">
      <c r="F4847">
        <f>F4846+1</f>
        <v/>
      </c>
      <c r="G4847" s="92">
        <f>EXP($C$12+$C$8*_xlfn.NORM.S.INV(RAND()))</f>
        <v/>
      </c>
    </row>
    <row r="4848">
      <c r="F4848">
        <f>F4847+1</f>
        <v/>
      </c>
      <c r="G4848" s="92">
        <f>EXP($C$12+$C$8*_xlfn.NORM.S.INV(RAND()))</f>
        <v/>
      </c>
    </row>
    <row r="4849">
      <c r="F4849">
        <f>F4848+1</f>
        <v/>
      </c>
      <c r="G4849" s="92">
        <f>EXP($C$12+$C$8*_xlfn.NORM.S.INV(RAND()))</f>
        <v/>
      </c>
    </row>
    <row r="4850">
      <c r="F4850">
        <f>F4849+1</f>
        <v/>
      </c>
      <c r="G4850" s="92">
        <f>EXP($C$12+$C$8*_xlfn.NORM.S.INV(RAND()))</f>
        <v/>
      </c>
    </row>
    <row r="4851">
      <c r="F4851">
        <f>F4850+1</f>
        <v/>
      </c>
      <c r="G4851" s="92">
        <f>EXP($C$12+$C$8*_xlfn.NORM.S.INV(RAND()))</f>
        <v/>
      </c>
    </row>
    <row r="4852">
      <c r="F4852">
        <f>F4851+1</f>
        <v/>
      </c>
      <c r="G4852" s="92">
        <f>EXP($C$12+$C$8*_xlfn.NORM.S.INV(RAND()))</f>
        <v/>
      </c>
    </row>
    <row r="4853">
      <c r="F4853">
        <f>F4852+1</f>
        <v/>
      </c>
      <c r="G4853" s="92">
        <f>EXP($C$12+$C$8*_xlfn.NORM.S.INV(RAND()))</f>
        <v/>
      </c>
    </row>
    <row r="4854">
      <c r="F4854">
        <f>F4853+1</f>
        <v/>
      </c>
      <c r="G4854" s="92">
        <f>EXP($C$12+$C$8*_xlfn.NORM.S.INV(RAND()))</f>
        <v/>
      </c>
    </row>
    <row r="4855">
      <c r="F4855">
        <f>F4854+1</f>
        <v/>
      </c>
      <c r="G4855" s="92">
        <f>EXP($C$12+$C$8*_xlfn.NORM.S.INV(RAND()))</f>
        <v/>
      </c>
    </row>
    <row r="4856">
      <c r="F4856">
        <f>F4855+1</f>
        <v/>
      </c>
      <c r="G4856" s="92">
        <f>EXP($C$12+$C$8*_xlfn.NORM.S.INV(RAND()))</f>
        <v/>
      </c>
    </row>
    <row r="4857">
      <c r="F4857">
        <f>F4856+1</f>
        <v/>
      </c>
      <c r="G4857" s="92">
        <f>EXP($C$12+$C$8*_xlfn.NORM.S.INV(RAND()))</f>
        <v/>
      </c>
    </row>
    <row r="4858">
      <c r="F4858">
        <f>F4857+1</f>
        <v/>
      </c>
      <c r="G4858" s="92">
        <f>EXP($C$12+$C$8*_xlfn.NORM.S.INV(RAND()))</f>
        <v/>
      </c>
    </row>
    <row r="4859">
      <c r="F4859">
        <f>F4858+1</f>
        <v/>
      </c>
      <c r="G4859" s="92">
        <f>EXP($C$12+$C$8*_xlfn.NORM.S.INV(RAND()))</f>
        <v/>
      </c>
    </row>
    <row r="4860">
      <c r="F4860">
        <f>F4859+1</f>
        <v/>
      </c>
      <c r="G4860" s="92">
        <f>EXP($C$12+$C$8*_xlfn.NORM.S.INV(RAND()))</f>
        <v/>
      </c>
    </row>
    <row r="4861">
      <c r="F4861">
        <f>F4860+1</f>
        <v/>
      </c>
      <c r="G4861" s="92">
        <f>EXP($C$12+$C$8*_xlfn.NORM.S.INV(RAND()))</f>
        <v/>
      </c>
    </row>
    <row r="4862">
      <c r="F4862">
        <f>F4861+1</f>
        <v/>
      </c>
      <c r="G4862" s="92">
        <f>EXP($C$12+$C$8*_xlfn.NORM.S.INV(RAND()))</f>
        <v/>
      </c>
    </row>
    <row r="4863">
      <c r="F4863">
        <f>F4862+1</f>
        <v/>
      </c>
      <c r="G4863" s="92">
        <f>EXP($C$12+$C$8*_xlfn.NORM.S.INV(RAND()))</f>
        <v/>
      </c>
    </row>
    <row r="4864">
      <c r="F4864">
        <f>F4863+1</f>
        <v/>
      </c>
      <c r="G4864" s="92">
        <f>EXP($C$12+$C$8*_xlfn.NORM.S.INV(RAND()))</f>
        <v/>
      </c>
    </row>
    <row r="4865">
      <c r="F4865">
        <f>F4864+1</f>
        <v/>
      </c>
      <c r="G4865" s="92">
        <f>EXP($C$12+$C$8*_xlfn.NORM.S.INV(RAND()))</f>
        <v/>
      </c>
    </row>
    <row r="4866">
      <c r="F4866">
        <f>F4865+1</f>
        <v/>
      </c>
      <c r="G4866" s="92">
        <f>EXP($C$12+$C$8*_xlfn.NORM.S.INV(RAND()))</f>
        <v/>
      </c>
    </row>
    <row r="4867">
      <c r="F4867">
        <f>F4866+1</f>
        <v/>
      </c>
      <c r="G4867" s="92">
        <f>EXP($C$12+$C$8*_xlfn.NORM.S.INV(RAND()))</f>
        <v/>
      </c>
    </row>
    <row r="4868">
      <c r="F4868">
        <f>F4867+1</f>
        <v/>
      </c>
      <c r="G4868" s="92">
        <f>EXP($C$12+$C$8*_xlfn.NORM.S.INV(RAND()))</f>
        <v/>
      </c>
    </row>
    <row r="4869">
      <c r="F4869">
        <f>F4868+1</f>
        <v/>
      </c>
      <c r="G4869" s="92">
        <f>EXP($C$12+$C$8*_xlfn.NORM.S.INV(RAND()))</f>
        <v/>
      </c>
    </row>
    <row r="4870">
      <c r="F4870">
        <f>F4869+1</f>
        <v/>
      </c>
      <c r="G4870" s="92">
        <f>EXP($C$12+$C$8*_xlfn.NORM.S.INV(RAND()))</f>
        <v/>
      </c>
    </row>
    <row r="4871">
      <c r="F4871">
        <f>F4870+1</f>
        <v/>
      </c>
      <c r="G4871" s="92">
        <f>EXP($C$12+$C$8*_xlfn.NORM.S.INV(RAND()))</f>
        <v/>
      </c>
    </row>
    <row r="4872">
      <c r="F4872">
        <f>F4871+1</f>
        <v/>
      </c>
      <c r="G4872" s="92">
        <f>EXP($C$12+$C$8*_xlfn.NORM.S.INV(RAND()))</f>
        <v/>
      </c>
    </row>
    <row r="4873">
      <c r="F4873">
        <f>F4872+1</f>
        <v/>
      </c>
      <c r="G4873" s="92">
        <f>EXP($C$12+$C$8*_xlfn.NORM.S.INV(RAND()))</f>
        <v/>
      </c>
    </row>
    <row r="4874">
      <c r="F4874">
        <f>F4873+1</f>
        <v/>
      </c>
      <c r="G4874" s="92">
        <f>EXP($C$12+$C$8*_xlfn.NORM.S.INV(RAND()))</f>
        <v/>
      </c>
    </row>
    <row r="4875">
      <c r="F4875">
        <f>F4874+1</f>
        <v/>
      </c>
      <c r="G4875" s="92">
        <f>EXP($C$12+$C$8*_xlfn.NORM.S.INV(RAND()))</f>
        <v/>
      </c>
    </row>
    <row r="4876">
      <c r="F4876">
        <f>F4875+1</f>
        <v/>
      </c>
      <c r="G4876" s="92">
        <f>EXP($C$12+$C$8*_xlfn.NORM.S.INV(RAND()))</f>
        <v/>
      </c>
    </row>
    <row r="4877">
      <c r="F4877">
        <f>F4876+1</f>
        <v/>
      </c>
      <c r="G4877" s="92">
        <f>EXP($C$12+$C$8*_xlfn.NORM.S.INV(RAND()))</f>
        <v/>
      </c>
    </row>
    <row r="4878">
      <c r="F4878">
        <f>F4877+1</f>
        <v/>
      </c>
      <c r="G4878" s="92">
        <f>EXP($C$12+$C$8*_xlfn.NORM.S.INV(RAND()))</f>
        <v/>
      </c>
    </row>
    <row r="4879">
      <c r="F4879">
        <f>F4878+1</f>
        <v/>
      </c>
      <c r="G4879" s="92">
        <f>EXP($C$12+$C$8*_xlfn.NORM.S.INV(RAND()))</f>
        <v/>
      </c>
    </row>
    <row r="4880">
      <c r="F4880">
        <f>F4879+1</f>
        <v/>
      </c>
      <c r="G4880" s="92">
        <f>EXP($C$12+$C$8*_xlfn.NORM.S.INV(RAND()))</f>
        <v/>
      </c>
    </row>
    <row r="4881">
      <c r="F4881">
        <f>F4880+1</f>
        <v/>
      </c>
      <c r="G4881" s="92">
        <f>EXP($C$12+$C$8*_xlfn.NORM.S.INV(RAND()))</f>
        <v/>
      </c>
    </row>
    <row r="4882">
      <c r="F4882">
        <f>F4881+1</f>
        <v/>
      </c>
      <c r="G4882" s="92">
        <f>EXP($C$12+$C$8*_xlfn.NORM.S.INV(RAND()))</f>
        <v/>
      </c>
    </row>
    <row r="4883">
      <c r="F4883">
        <f>F4882+1</f>
        <v/>
      </c>
      <c r="G4883" s="92">
        <f>EXP($C$12+$C$8*_xlfn.NORM.S.INV(RAND()))</f>
        <v/>
      </c>
    </row>
    <row r="4884">
      <c r="F4884">
        <f>F4883+1</f>
        <v/>
      </c>
      <c r="G4884" s="92">
        <f>EXP($C$12+$C$8*_xlfn.NORM.S.INV(RAND()))</f>
        <v/>
      </c>
    </row>
    <row r="4885">
      <c r="F4885">
        <f>F4884+1</f>
        <v/>
      </c>
      <c r="G4885" s="92">
        <f>EXP($C$12+$C$8*_xlfn.NORM.S.INV(RAND()))</f>
        <v/>
      </c>
    </row>
    <row r="4886">
      <c r="F4886">
        <f>F4885+1</f>
        <v/>
      </c>
      <c r="G4886" s="92">
        <f>EXP($C$12+$C$8*_xlfn.NORM.S.INV(RAND()))</f>
        <v/>
      </c>
    </row>
    <row r="4887">
      <c r="F4887">
        <f>F4886+1</f>
        <v/>
      </c>
      <c r="G4887" s="92">
        <f>EXP($C$12+$C$8*_xlfn.NORM.S.INV(RAND()))</f>
        <v/>
      </c>
    </row>
    <row r="4888">
      <c r="F4888">
        <f>F4887+1</f>
        <v/>
      </c>
      <c r="G4888" s="92">
        <f>EXP($C$12+$C$8*_xlfn.NORM.S.INV(RAND()))</f>
        <v/>
      </c>
    </row>
    <row r="4889">
      <c r="F4889">
        <f>F4888+1</f>
        <v/>
      </c>
      <c r="G4889" s="92">
        <f>EXP($C$12+$C$8*_xlfn.NORM.S.INV(RAND()))</f>
        <v/>
      </c>
    </row>
    <row r="4890">
      <c r="F4890">
        <f>F4889+1</f>
        <v/>
      </c>
      <c r="G4890" s="92">
        <f>EXP($C$12+$C$8*_xlfn.NORM.S.INV(RAND()))</f>
        <v/>
      </c>
    </row>
    <row r="4891">
      <c r="F4891">
        <f>F4890+1</f>
        <v/>
      </c>
      <c r="G4891" s="92">
        <f>EXP($C$12+$C$8*_xlfn.NORM.S.INV(RAND()))</f>
        <v/>
      </c>
    </row>
    <row r="4892">
      <c r="F4892">
        <f>F4891+1</f>
        <v/>
      </c>
      <c r="G4892" s="92">
        <f>EXP($C$12+$C$8*_xlfn.NORM.S.INV(RAND()))</f>
        <v/>
      </c>
    </row>
    <row r="4893">
      <c r="F4893">
        <f>F4892+1</f>
        <v/>
      </c>
      <c r="G4893" s="92">
        <f>EXP($C$12+$C$8*_xlfn.NORM.S.INV(RAND()))</f>
        <v/>
      </c>
    </row>
    <row r="4894">
      <c r="F4894">
        <f>F4893+1</f>
        <v/>
      </c>
      <c r="G4894" s="92">
        <f>EXP($C$12+$C$8*_xlfn.NORM.S.INV(RAND()))</f>
        <v/>
      </c>
    </row>
    <row r="4895">
      <c r="F4895">
        <f>F4894+1</f>
        <v/>
      </c>
      <c r="G4895" s="92">
        <f>EXP($C$12+$C$8*_xlfn.NORM.S.INV(RAND()))</f>
        <v/>
      </c>
    </row>
    <row r="4896">
      <c r="F4896">
        <f>F4895+1</f>
        <v/>
      </c>
      <c r="G4896" s="92">
        <f>EXP($C$12+$C$8*_xlfn.NORM.S.INV(RAND()))</f>
        <v/>
      </c>
    </row>
    <row r="4897">
      <c r="F4897">
        <f>F4896+1</f>
        <v/>
      </c>
      <c r="G4897" s="92">
        <f>EXP($C$12+$C$8*_xlfn.NORM.S.INV(RAND()))</f>
        <v/>
      </c>
    </row>
    <row r="4898">
      <c r="F4898">
        <f>F4897+1</f>
        <v/>
      </c>
      <c r="G4898" s="92">
        <f>EXP($C$12+$C$8*_xlfn.NORM.S.INV(RAND()))</f>
        <v/>
      </c>
    </row>
    <row r="4899">
      <c r="F4899">
        <f>F4898+1</f>
        <v/>
      </c>
      <c r="G4899" s="92">
        <f>EXP($C$12+$C$8*_xlfn.NORM.S.INV(RAND()))</f>
        <v/>
      </c>
    </row>
    <row r="4900">
      <c r="F4900">
        <f>F4899+1</f>
        <v/>
      </c>
      <c r="G4900" s="92">
        <f>EXP($C$12+$C$8*_xlfn.NORM.S.INV(RAND()))</f>
        <v/>
      </c>
    </row>
    <row r="4901">
      <c r="F4901">
        <f>F4900+1</f>
        <v/>
      </c>
      <c r="G4901" s="92">
        <f>EXP($C$12+$C$8*_xlfn.NORM.S.INV(RAND()))</f>
        <v/>
      </c>
    </row>
    <row r="4902">
      <c r="F4902">
        <f>F4901+1</f>
        <v/>
      </c>
      <c r="G4902" s="92">
        <f>EXP($C$12+$C$8*_xlfn.NORM.S.INV(RAND()))</f>
        <v/>
      </c>
    </row>
    <row r="4903">
      <c r="F4903">
        <f>F4902+1</f>
        <v/>
      </c>
      <c r="G4903" s="92">
        <f>EXP($C$12+$C$8*_xlfn.NORM.S.INV(RAND()))</f>
        <v/>
      </c>
    </row>
    <row r="4904">
      <c r="F4904">
        <f>F4903+1</f>
        <v/>
      </c>
      <c r="G4904" s="92">
        <f>EXP($C$12+$C$8*_xlfn.NORM.S.INV(RAND()))</f>
        <v/>
      </c>
    </row>
    <row r="4905">
      <c r="F4905">
        <f>F4904+1</f>
        <v/>
      </c>
      <c r="G4905" s="92">
        <f>EXP($C$12+$C$8*_xlfn.NORM.S.INV(RAND()))</f>
        <v/>
      </c>
    </row>
    <row r="4906">
      <c r="F4906">
        <f>F4905+1</f>
        <v/>
      </c>
      <c r="G4906" s="92">
        <f>EXP($C$12+$C$8*_xlfn.NORM.S.INV(RAND()))</f>
        <v/>
      </c>
    </row>
    <row r="4907">
      <c r="F4907">
        <f>F4906+1</f>
        <v/>
      </c>
      <c r="G4907" s="92">
        <f>EXP($C$12+$C$8*_xlfn.NORM.S.INV(RAND()))</f>
        <v/>
      </c>
    </row>
    <row r="4908">
      <c r="F4908">
        <f>F4907+1</f>
        <v/>
      </c>
      <c r="G4908" s="92">
        <f>EXP($C$12+$C$8*_xlfn.NORM.S.INV(RAND()))</f>
        <v/>
      </c>
    </row>
    <row r="4909">
      <c r="F4909">
        <f>F4908+1</f>
        <v/>
      </c>
      <c r="G4909" s="92">
        <f>EXP($C$12+$C$8*_xlfn.NORM.S.INV(RAND()))</f>
        <v/>
      </c>
    </row>
    <row r="4910">
      <c r="F4910">
        <f>F4909+1</f>
        <v/>
      </c>
      <c r="G4910" s="92">
        <f>EXP($C$12+$C$8*_xlfn.NORM.S.INV(RAND()))</f>
        <v/>
      </c>
    </row>
    <row r="4911">
      <c r="F4911">
        <f>F4910+1</f>
        <v/>
      </c>
      <c r="G4911" s="92">
        <f>EXP($C$12+$C$8*_xlfn.NORM.S.INV(RAND()))</f>
        <v/>
      </c>
    </row>
    <row r="4912">
      <c r="F4912">
        <f>F4911+1</f>
        <v/>
      </c>
      <c r="G4912" s="92">
        <f>EXP($C$12+$C$8*_xlfn.NORM.S.INV(RAND()))</f>
        <v/>
      </c>
    </row>
    <row r="4913">
      <c r="F4913">
        <f>F4912+1</f>
        <v/>
      </c>
      <c r="G4913" s="92">
        <f>EXP($C$12+$C$8*_xlfn.NORM.S.INV(RAND()))</f>
        <v/>
      </c>
    </row>
    <row r="4914">
      <c r="F4914">
        <f>F4913+1</f>
        <v/>
      </c>
      <c r="G4914" s="92">
        <f>EXP($C$12+$C$8*_xlfn.NORM.S.INV(RAND()))</f>
        <v/>
      </c>
    </row>
    <row r="4915">
      <c r="F4915">
        <f>F4914+1</f>
        <v/>
      </c>
      <c r="G4915" s="92">
        <f>EXP($C$12+$C$8*_xlfn.NORM.S.INV(RAND()))</f>
        <v/>
      </c>
    </row>
    <row r="4916">
      <c r="F4916">
        <f>F4915+1</f>
        <v/>
      </c>
      <c r="G4916" s="92">
        <f>EXP($C$12+$C$8*_xlfn.NORM.S.INV(RAND()))</f>
        <v/>
      </c>
    </row>
    <row r="4917">
      <c r="F4917">
        <f>F4916+1</f>
        <v/>
      </c>
      <c r="G4917" s="92">
        <f>EXP($C$12+$C$8*_xlfn.NORM.S.INV(RAND()))</f>
        <v/>
      </c>
    </row>
    <row r="4918">
      <c r="F4918">
        <f>F4917+1</f>
        <v/>
      </c>
      <c r="G4918" s="92">
        <f>EXP($C$12+$C$8*_xlfn.NORM.S.INV(RAND()))</f>
        <v/>
      </c>
    </row>
    <row r="4919">
      <c r="F4919">
        <f>F4918+1</f>
        <v/>
      </c>
      <c r="G4919" s="92">
        <f>EXP($C$12+$C$8*_xlfn.NORM.S.INV(RAND()))</f>
        <v/>
      </c>
    </row>
    <row r="4920">
      <c r="F4920">
        <f>F4919+1</f>
        <v/>
      </c>
      <c r="G4920" s="92">
        <f>EXP($C$12+$C$8*_xlfn.NORM.S.INV(RAND()))</f>
        <v/>
      </c>
    </row>
    <row r="4921">
      <c r="F4921">
        <f>F4920+1</f>
        <v/>
      </c>
      <c r="G4921" s="92">
        <f>EXP($C$12+$C$8*_xlfn.NORM.S.INV(RAND()))</f>
        <v/>
      </c>
    </row>
    <row r="4922">
      <c r="F4922">
        <f>F4921+1</f>
        <v/>
      </c>
      <c r="G4922" s="92">
        <f>EXP($C$12+$C$8*_xlfn.NORM.S.INV(RAND()))</f>
        <v/>
      </c>
    </row>
    <row r="4923">
      <c r="F4923">
        <f>F4922+1</f>
        <v/>
      </c>
      <c r="G4923" s="92">
        <f>EXP($C$12+$C$8*_xlfn.NORM.S.INV(RAND()))</f>
        <v/>
      </c>
    </row>
    <row r="4924">
      <c r="F4924">
        <f>F4923+1</f>
        <v/>
      </c>
      <c r="G4924" s="92">
        <f>EXP($C$12+$C$8*_xlfn.NORM.S.INV(RAND()))</f>
        <v/>
      </c>
    </row>
    <row r="4925">
      <c r="F4925">
        <f>F4924+1</f>
        <v/>
      </c>
      <c r="G4925" s="92">
        <f>EXP($C$12+$C$8*_xlfn.NORM.S.INV(RAND()))</f>
        <v/>
      </c>
    </row>
    <row r="4926">
      <c r="F4926">
        <f>F4925+1</f>
        <v/>
      </c>
      <c r="G4926" s="92">
        <f>EXP($C$12+$C$8*_xlfn.NORM.S.INV(RAND()))</f>
        <v/>
      </c>
    </row>
    <row r="4927">
      <c r="F4927">
        <f>F4926+1</f>
        <v/>
      </c>
      <c r="G4927" s="92">
        <f>EXP($C$12+$C$8*_xlfn.NORM.S.INV(RAND()))</f>
        <v/>
      </c>
    </row>
    <row r="4928">
      <c r="F4928">
        <f>F4927+1</f>
        <v/>
      </c>
      <c r="G4928" s="92">
        <f>EXP($C$12+$C$8*_xlfn.NORM.S.INV(RAND()))</f>
        <v/>
      </c>
    </row>
    <row r="4929">
      <c r="F4929">
        <f>F4928+1</f>
        <v/>
      </c>
      <c r="G4929" s="92">
        <f>EXP($C$12+$C$8*_xlfn.NORM.S.INV(RAND()))</f>
        <v/>
      </c>
    </row>
    <row r="4930">
      <c r="F4930">
        <f>F4929+1</f>
        <v/>
      </c>
      <c r="G4930" s="92">
        <f>EXP($C$12+$C$8*_xlfn.NORM.S.INV(RAND()))</f>
        <v/>
      </c>
    </row>
    <row r="4931">
      <c r="F4931">
        <f>F4930+1</f>
        <v/>
      </c>
      <c r="G4931" s="92">
        <f>EXP($C$12+$C$8*_xlfn.NORM.S.INV(RAND()))</f>
        <v/>
      </c>
    </row>
    <row r="4932">
      <c r="F4932">
        <f>F4931+1</f>
        <v/>
      </c>
      <c r="G4932" s="92">
        <f>EXP($C$12+$C$8*_xlfn.NORM.S.INV(RAND()))</f>
        <v/>
      </c>
    </row>
    <row r="4933">
      <c r="F4933">
        <f>F4932+1</f>
        <v/>
      </c>
      <c r="G4933" s="92">
        <f>EXP($C$12+$C$8*_xlfn.NORM.S.INV(RAND()))</f>
        <v/>
      </c>
    </row>
    <row r="4934">
      <c r="F4934">
        <f>F4933+1</f>
        <v/>
      </c>
      <c r="G4934" s="92">
        <f>EXP($C$12+$C$8*_xlfn.NORM.S.INV(RAND()))</f>
        <v/>
      </c>
    </row>
    <row r="4935">
      <c r="F4935">
        <f>F4934+1</f>
        <v/>
      </c>
      <c r="G4935" s="92">
        <f>EXP($C$12+$C$8*_xlfn.NORM.S.INV(RAND()))</f>
        <v/>
      </c>
    </row>
    <row r="4936">
      <c r="F4936">
        <f>F4935+1</f>
        <v/>
      </c>
      <c r="G4936" s="92">
        <f>EXP($C$12+$C$8*_xlfn.NORM.S.INV(RAND()))</f>
        <v/>
      </c>
    </row>
    <row r="4937">
      <c r="F4937">
        <f>F4936+1</f>
        <v/>
      </c>
      <c r="G4937" s="92">
        <f>EXP($C$12+$C$8*_xlfn.NORM.S.INV(RAND()))</f>
        <v/>
      </c>
    </row>
    <row r="4938">
      <c r="F4938">
        <f>F4937+1</f>
        <v/>
      </c>
      <c r="G4938" s="92">
        <f>EXP($C$12+$C$8*_xlfn.NORM.S.INV(RAND()))</f>
        <v/>
      </c>
    </row>
    <row r="4939">
      <c r="F4939">
        <f>F4938+1</f>
        <v/>
      </c>
      <c r="G4939" s="92">
        <f>EXP($C$12+$C$8*_xlfn.NORM.S.INV(RAND()))</f>
        <v/>
      </c>
    </row>
    <row r="4940">
      <c r="F4940">
        <f>F4939+1</f>
        <v/>
      </c>
      <c r="G4940" s="92">
        <f>EXP($C$12+$C$8*_xlfn.NORM.S.INV(RAND()))</f>
        <v/>
      </c>
    </row>
    <row r="4941">
      <c r="F4941">
        <f>F4940+1</f>
        <v/>
      </c>
      <c r="G4941" s="92">
        <f>EXP($C$12+$C$8*_xlfn.NORM.S.INV(RAND()))</f>
        <v/>
      </c>
    </row>
    <row r="4942">
      <c r="F4942">
        <f>F4941+1</f>
        <v/>
      </c>
      <c r="G4942" s="92">
        <f>EXP($C$12+$C$8*_xlfn.NORM.S.INV(RAND()))</f>
        <v/>
      </c>
    </row>
    <row r="4943">
      <c r="F4943">
        <f>F4942+1</f>
        <v/>
      </c>
      <c r="G4943" s="92">
        <f>EXP($C$12+$C$8*_xlfn.NORM.S.INV(RAND()))</f>
        <v/>
      </c>
    </row>
    <row r="4944">
      <c r="F4944">
        <f>F4943+1</f>
        <v/>
      </c>
      <c r="G4944" s="92">
        <f>EXP($C$12+$C$8*_xlfn.NORM.S.INV(RAND()))</f>
        <v/>
      </c>
    </row>
    <row r="4945">
      <c r="F4945">
        <f>F4944+1</f>
        <v/>
      </c>
      <c r="G4945" s="92">
        <f>EXP($C$12+$C$8*_xlfn.NORM.S.INV(RAND()))</f>
        <v/>
      </c>
    </row>
    <row r="4946">
      <c r="F4946">
        <f>F4945+1</f>
        <v/>
      </c>
      <c r="G4946" s="92">
        <f>EXP($C$12+$C$8*_xlfn.NORM.S.INV(RAND()))</f>
        <v/>
      </c>
    </row>
    <row r="4947">
      <c r="F4947">
        <f>F4946+1</f>
        <v/>
      </c>
      <c r="G4947" s="92">
        <f>EXP($C$12+$C$8*_xlfn.NORM.S.INV(RAND()))</f>
        <v/>
      </c>
    </row>
    <row r="4948">
      <c r="F4948">
        <f>F4947+1</f>
        <v/>
      </c>
      <c r="G4948" s="92">
        <f>EXP($C$12+$C$8*_xlfn.NORM.S.INV(RAND()))</f>
        <v/>
      </c>
    </row>
    <row r="4949">
      <c r="F4949">
        <f>F4948+1</f>
        <v/>
      </c>
      <c r="G4949" s="92">
        <f>EXP($C$12+$C$8*_xlfn.NORM.S.INV(RAND()))</f>
        <v/>
      </c>
    </row>
    <row r="4950">
      <c r="F4950">
        <f>F4949+1</f>
        <v/>
      </c>
      <c r="G4950" s="92">
        <f>EXP($C$12+$C$8*_xlfn.NORM.S.INV(RAND()))</f>
        <v/>
      </c>
    </row>
    <row r="4951">
      <c r="F4951">
        <f>F4950+1</f>
        <v/>
      </c>
      <c r="G4951" s="92">
        <f>EXP($C$12+$C$8*_xlfn.NORM.S.INV(RAND()))</f>
        <v/>
      </c>
    </row>
    <row r="4952">
      <c r="F4952">
        <f>F4951+1</f>
        <v/>
      </c>
      <c r="G4952" s="92">
        <f>EXP($C$12+$C$8*_xlfn.NORM.S.INV(RAND()))</f>
        <v/>
      </c>
    </row>
    <row r="4953">
      <c r="F4953">
        <f>F4952+1</f>
        <v/>
      </c>
      <c r="G4953" s="92">
        <f>EXP($C$12+$C$8*_xlfn.NORM.S.INV(RAND()))</f>
        <v/>
      </c>
    </row>
    <row r="4954">
      <c r="F4954">
        <f>F4953+1</f>
        <v/>
      </c>
      <c r="G4954" s="92">
        <f>EXP($C$12+$C$8*_xlfn.NORM.S.INV(RAND()))</f>
        <v/>
      </c>
    </row>
    <row r="4955">
      <c r="F4955">
        <f>F4954+1</f>
        <v/>
      </c>
      <c r="G4955" s="92">
        <f>EXP($C$12+$C$8*_xlfn.NORM.S.INV(RAND()))</f>
        <v/>
      </c>
    </row>
    <row r="4956">
      <c r="F4956">
        <f>F4955+1</f>
        <v/>
      </c>
      <c r="G4956" s="92">
        <f>EXP($C$12+$C$8*_xlfn.NORM.S.INV(RAND()))</f>
        <v/>
      </c>
    </row>
    <row r="4957">
      <c r="F4957">
        <f>F4956+1</f>
        <v/>
      </c>
      <c r="G4957" s="92">
        <f>EXP($C$12+$C$8*_xlfn.NORM.S.INV(RAND()))</f>
        <v/>
      </c>
    </row>
    <row r="4958">
      <c r="F4958">
        <f>F4957+1</f>
        <v/>
      </c>
      <c r="G4958" s="92">
        <f>EXP($C$12+$C$8*_xlfn.NORM.S.INV(RAND()))</f>
        <v/>
      </c>
    </row>
    <row r="4959">
      <c r="F4959">
        <f>F4958+1</f>
        <v/>
      </c>
      <c r="G4959" s="92">
        <f>EXP($C$12+$C$8*_xlfn.NORM.S.INV(RAND()))</f>
        <v/>
      </c>
    </row>
    <row r="4960">
      <c r="F4960">
        <f>F4959+1</f>
        <v/>
      </c>
      <c r="G4960" s="92">
        <f>EXP($C$12+$C$8*_xlfn.NORM.S.INV(RAND()))</f>
        <v/>
      </c>
    </row>
    <row r="4961">
      <c r="F4961">
        <f>F4960+1</f>
        <v/>
      </c>
      <c r="G4961" s="92">
        <f>EXP($C$12+$C$8*_xlfn.NORM.S.INV(RAND()))</f>
        <v/>
      </c>
    </row>
    <row r="4962">
      <c r="F4962">
        <f>F4961+1</f>
        <v/>
      </c>
      <c r="G4962" s="92">
        <f>EXP($C$12+$C$8*_xlfn.NORM.S.INV(RAND()))</f>
        <v/>
      </c>
    </row>
    <row r="4963">
      <c r="F4963">
        <f>F4962+1</f>
        <v/>
      </c>
      <c r="G4963" s="92">
        <f>EXP($C$12+$C$8*_xlfn.NORM.S.INV(RAND()))</f>
        <v/>
      </c>
    </row>
    <row r="4964">
      <c r="F4964">
        <f>F4963+1</f>
        <v/>
      </c>
      <c r="G4964" s="92">
        <f>EXP($C$12+$C$8*_xlfn.NORM.S.INV(RAND()))</f>
        <v/>
      </c>
    </row>
    <row r="4965">
      <c r="F4965">
        <f>F4964+1</f>
        <v/>
      </c>
      <c r="G4965" s="92">
        <f>EXP($C$12+$C$8*_xlfn.NORM.S.INV(RAND()))</f>
        <v/>
      </c>
    </row>
    <row r="4966">
      <c r="F4966">
        <f>F4965+1</f>
        <v/>
      </c>
      <c r="G4966" s="92">
        <f>EXP($C$12+$C$8*_xlfn.NORM.S.INV(RAND()))</f>
        <v/>
      </c>
    </row>
    <row r="4967">
      <c r="F4967">
        <f>F4966+1</f>
        <v/>
      </c>
      <c r="G4967" s="92">
        <f>EXP($C$12+$C$8*_xlfn.NORM.S.INV(RAND()))</f>
        <v/>
      </c>
    </row>
    <row r="4968">
      <c r="F4968">
        <f>F4967+1</f>
        <v/>
      </c>
      <c r="G4968" s="92">
        <f>EXP($C$12+$C$8*_xlfn.NORM.S.INV(RAND()))</f>
        <v/>
      </c>
    </row>
    <row r="4969">
      <c r="F4969">
        <f>F4968+1</f>
        <v/>
      </c>
      <c r="G4969" s="92">
        <f>EXP($C$12+$C$8*_xlfn.NORM.S.INV(RAND()))</f>
        <v/>
      </c>
    </row>
    <row r="4970">
      <c r="F4970">
        <f>F4969+1</f>
        <v/>
      </c>
      <c r="G4970" s="92">
        <f>EXP($C$12+$C$8*_xlfn.NORM.S.INV(RAND()))</f>
        <v/>
      </c>
    </row>
    <row r="4971">
      <c r="F4971">
        <f>F4970+1</f>
        <v/>
      </c>
      <c r="G4971" s="92">
        <f>EXP($C$12+$C$8*_xlfn.NORM.S.INV(RAND()))</f>
        <v/>
      </c>
    </row>
    <row r="4972">
      <c r="F4972">
        <f>F4971+1</f>
        <v/>
      </c>
      <c r="G4972" s="92">
        <f>EXP($C$12+$C$8*_xlfn.NORM.S.INV(RAND()))</f>
        <v/>
      </c>
    </row>
    <row r="4973">
      <c r="F4973">
        <f>F4972+1</f>
        <v/>
      </c>
      <c r="G4973" s="92">
        <f>EXP($C$12+$C$8*_xlfn.NORM.S.INV(RAND()))</f>
        <v/>
      </c>
    </row>
    <row r="4974">
      <c r="F4974">
        <f>F4973+1</f>
        <v/>
      </c>
      <c r="G4974" s="92">
        <f>EXP($C$12+$C$8*_xlfn.NORM.S.INV(RAND()))</f>
        <v/>
      </c>
    </row>
    <row r="4975">
      <c r="F4975">
        <f>F4974+1</f>
        <v/>
      </c>
      <c r="G4975" s="92">
        <f>EXP($C$12+$C$8*_xlfn.NORM.S.INV(RAND()))</f>
        <v/>
      </c>
    </row>
    <row r="4976">
      <c r="F4976">
        <f>F4975+1</f>
        <v/>
      </c>
      <c r="G4976" s="92">
        <f>EXP($C$12+$C$8*_xlfn.NORM.S.INV(RAND()))</f>
        <v/>
      </c>
    </row>
    <row r="4977">
      <c r="F4977">
        <f>F4976+1</f>
        <v/>
      </c>
      <c r="G4977" s="92">
        <f>EXP($C$12+$C$8*_xlfn.NORM.S.INV(RAND()))</f>
        <v/>
      </c>
    </row>
    <row r="4978">
      <c r="F4978">
        <f>F4977+1</f>
        <v/>
      </c>
      <c r="G4978" s="92">
        <f>EXP($C$12+$C$8*_xlfn.NORM.S.INV(RAND()))</f>
        <v/>
      </c>
    </row>
    <row r="4979">
      <c r="F4979">
        <f>F4978+1</f>
        <v/>
      </c>
      <c r="G4979" s="92">
        <f>EXP($C$12+$C$8*_xlfn.NORM.S.INV(RAND()))</f>
        <v/>
      </c>
    </row>
    <row r="4980">
      <c r="F4980">
        <f>F4979+1</f>
        <v/>
      </c>
      <c r="G4980" s="92">
        <f>EXP($C$12+$C$8*_xlfn.NORM.S.INV(RAND()))</f>
        <v/>
      </c>
    </row>
    <row r="4981">
      <c r="F4981">
        <f>F4980+1</f>
        <v/>
      </c>
      <c r="G4981" s="92">
        <f>EXP($C$12+$C$8*_xlfn.NORM.S.INV(RAND()))</f>
        <v/>
      </c>
    </row>
    <row r="4982">
      <c r="F4982">
        <f>F4981+1</f>
        <v/>
      </c>
      <c r="G4982" s="92">
        <f>EXP($C$12+$C$8*_xlfn.NORM.S.INV(RAND()))</f>
        <v/>
      </c>
    </row>
    <row r="4983">
      <c r="F4983">
        <f>F4982+1</f>
        <v/>
      </c>
      <c r="G4983" s="92">
        <f>EXP($C$12+$C$8*_xlfn.NORM.S.INV(RAND()))</f>
        <v/>
      </c>
    </row>
    <row r="4984">
      <c r="F4984">
        <f>F4983+1</f>
        <v/>
      </c>
      <c r="G4984" s="92">
        <f>EXP($C$12+$C$8*_xlfn.NORM.S.INV(RAND()))</f>
        <v/>
      </c>
    </row>
    <row r="4985">
      <c r="F4985">
        <f>F4984+1</f>
        <v/>
      </c>
      <c r="G4985" s="92">
        <f>EXP($C$12+$C$8*_xlfn.NORM.S.INV(RAND()))</f>
        <v/>
      </c>
    </row>
    <row r="4986">
      <c r="F4986">
        <f>F4985+1</f>
        <v/>
      </c>
      <c r="G4986" s="92">
        <f>EXP($C$12+$C$8*_xlfn.NORM.S.INV(RAND()))</f>
        <v/>
      </c>
    </row>
    <row r="4987">
      <c r="F4987">
        <f>F4986+1</f>
        <v/>
      </c>
      <c r="G4987" s="92">
        <f>EXP($C$12+$C$8*_xlfn.NORM.S.INV(RAND()))</f>
        <v/>
      </c>
    </row>
    <row r="4988">
      <c r="F4988">
        <f>F4987+1</f>
        <v/>
      </c>
      <c r="G4988" s="92">
        <f>EXP($C$12+$C$8*_xlfn.NORM.S.INV(RAND()))</f>
        <v/>
      </c>
    </row>
    <row r="4989">
      <c r="F4989">
        <f>F4988+1</f>
        <v/>
      </c>
      <c r="G4989" s="92">
        <f>EXP($C$12+$C$8*_xlfn.NORM.S.INV(RAND()))</f>
        <v/>
      </c>
    </row>
    <row r="4990">
      <c r="F4990">
        <f>F4989+1</f>
        <v/>
      </c>
      <c r="G4990" s="92">
        <f>EXP($C$12+$C$8*_xlfn.NORM.S.INV(RAND()))</f>
        <v/>
      </c>
    </row>
    <row r="4991">
      <c r="F4991">
        <f>F4990+1</f>
        <v/>
      </c>
      <c r="G4991" s="92">
        <f>EXP($C$12+$C$8*_xlfn.NORM.S.INV(RAND()))</f>
        <v/>
      </c>
    </row>
    <row r="4992">
      <c r="F4992">
        <f>F4991+1</f>
        <v/>
      </c>
      <c r="G4992" s="92">
        <f>EXP($C$12+$C$8*_xlfn.NORM.S.INV(RAND()))</f>
        <v/>
      </c>
    </row>
    <row r="4993">
      <c r="F4993">
        <f>F4992+1</f>
        <v/>
      </c>
      <c r="G4993" s="92">
        <f>EXP($C$12+$C$8*_xlfn.NORM.S.INV(RAND()))</f>
        <v/>
      </c>
    </row>
    <row r="4994">
      <c r="F4994">
        <f>F4993+1</f>
        <v/>
      </c>
      <c r="G4994" s="92">
        <f>EXP($C$12+$C$8*_xlfn.NORM.S.INV(RAND()))</f>
        <v/>
      </c>
    </row>
    <row r="4995">
      <c r="F4995">
        <f>F4994+1</f>
        <v/>
      </c>
      <c r="G4995" s="92">
        <f>EXP($C$12+$C$8*_xlfn.NORM.S.INV(RAND()))</f>
        <v/>
      </c>
    </row>
    <row r="4996">
      <c r="F4996">
        <f>F4995+1</f>
        <v/>
      </c>
      <c r="G4996" s="92">
        <f>EXP($C$12+$C$8*_xlfn.NORM.S.INV(RAND()))</f>
        <v/>
      </c>
    </row>
    <row r="4997">
      <c r="F4997">
        <f>F4996+1</f>
        <v/>
      </c>
      <c r="G4997" s="92">
        <f>EXP($C$12+$C$8*_xlfn.NORM.S.INV(RAND()))</f>
        <v/>
      </c>
    </row>
    <row r="4998">
      <c r="F4998">
        <f>F4997+1</f>
        <v/>
      </c>
      <c r="G4998" s="92">
        <f>EXP($C$12+$C$8*_xlfn.NORM.S.INV(RAND()))</f>
        <v/>
      </c>
    </row>
    <row r="4999">
      <c r="F4999">
        <f>F4998+1</f>
        <v/>
      </c>
      <c r="G4999" s="92">
        <f>EXP($C$12+$C$8*_xlfn.NORM.S.INV(RAND()))</f>
        <v/>
      </c>
    </row>
    <row r="5000">
      <c r="F5000">
        <f>F4999+1</f>
        <v/>
      </c>
      <c r="G5000" s="92">
        <f>EXP($C$12+$C$8*_xlfn.NORM.S.INV(RAND()))</f>
        <v/>
      </c>
    </row>
    <row r="5001">
      <c r="F5001">
        <f>F5000+1</f>
        <v/>
      </c>
      <c r="G5001" s="92">
        <f>EXP($C$12+$C$8*_xlfn.NORM.S.INV(RAND()))</f>
        <v/>
      </c>
    </row>
    <row r="5002">
      <c r="F5002">
        <f>F5001+1</f>
        <v/>
      </c>
      <c r="G5002" s="92">
        <f>EXP($C$12+$C$8*_xlfn.NORM.S.INV(RAND()))</f>
        <v/>
      </c>
    </row>
    <row r="5003">
      <c r="F5003">
        <f>F5002+1</f>
        <v/>
      </c>
      <c r="G5003" s="92">
        <f>EXP($C$12+$C$8*_xlfn.NORM.S.INV(RAND()))</f>
        <v/>
      </c>
    </row>
    <row r="5004">
      <c r="F5004">
        <f>F5003+1</f>
        <v/>
      </c>
      <c r="G5004" s="92">
        <f>EXP($C$12+$C$8*_xlfn.NORM.S.INV(RAND()))</f>
        <v/>
      </c>
    </row>
    <row r="5005">
      <c r="F5005">
        <f>F5004+1</f>
        <v/>
      </c>
      <c r="G5005" s="92">
        <f>EXP($C$12+$C$8*_xlfn.NORM.S.INV(RAND()))</f>
        <v/>
      </c>
    </row>
    <row r="5006">
      <c r="F5006">
        <f>F5005+1</f>
        <v/>
      </c>
      <c r="G5006" s="92">
        <f>EXP($C$12+$C$8*_xlfn.NORM.S.INV(RAND()))</f>
        <v/>
      </c>
    </row>
    <row r="5007">
      <c r="F5007">
        <f>F5006+1</f>
        <v/>
      </c>
      <c r="G5007" s="92">
        <f>EXP($C$12+$C$8*_xlfn.NORM.S.INV(RAND()))</f>
        <v/>
      </c>
    </row>
    <row r="5008">
      <c r="F5008">
        <f>F5007+1</f>
        <v/>
      </c>
      <c r="G5008" s="92">
        <f>EXP($C$12+$C$8*_xlfn.NORM.S.INV(RAND()))</f>
        <v/>
      </c>
    </row>
    <row r="5009">
      <c r="F5009">
        <f>F5008+1</f>
        <v/>
      </c>
      <c r="G5009" s="92">
        <f>EXP($C$12+$C$8*_xlfn.NORM.S.INV(RAND()))</f>
        <v/>
      </c>
    </row>
    <row r="5010">
      <c r="F5010">
        <f>F5009+1</f>
        <v/>
      </c>
      <c r="G5010" s="92">
        <f>EXP($C$12+$C$8*_xlfn.NORM.S.INV(RAND()))</f>
        <v/>
      </c>
    </row>
    <row r="5011">
      <c r="F5011">
        <f>F5010+1</f>
        <v/>
      </c>
      <c r="G5011" s="92">
        <f>EXP($C$12+$C$8*_xlfn.NORM.S.INV(RAND()))</f>
        <v/>
      </c>
    </row>
    <row r="5012">
      <c r="F5012">
        <f>F5011+1</f>
        <v/>
      </c>
      <c r="G5012" s="92">
        <f>EXP($C$12+$C$8*_xlfn.NORM.S.INV(RAND()))</f>
        <v/>
      </c>
    </row>
    <row r="5013">
      <c r="F5013">
        <f>F5012+1</f>
        <v/>
      </c>
      <c r="G5013" s="92">
        <f>EXP($C$12+$C$8*_xlfn.NORM.S.INV(RAND()))</f>
        <v/>
      </c>
    </row>
    <row r="5014">
      <c r="F5014">
        <f>F5013+1</f>
        <v/>
      </c>
      <c r="G5014" s="92">
        <f>EXP($C$12+$C$8*_xlfn.NORM.S.INV(RAND()))</f>
        <v/>
      </c>
    </row>
    <row r="5015">
      <c r="F5015">
        <f>F5014+1</f>
        <v/>
      </c>
      <c r="G5015" s="92">
        <f>EXP($C$12+$C$8*_xlfn.NORM.S.INV(RAND()))</f>
        <v/>
      </c>
    </row>
    <row r="5016">
      <c r="F5016">
        <f>F5015+1</f>
        <v/>
      </c>
      <c r="G5016" s="92">
        <f>EXP($C$12+$C$8*_xlfn.NORM.S.INV(RAND()))</f>
        <v/>
      </c>
    </row>
    <row r="5017">
      <c r="F5017">
        <f>F5016+1</f>
        <v/>
      </c>
      <c r="G5017" s="92">
        <f>EXP($C$12+$C$8*_xlfn.NORM.S.INV(RAND()))</f>
        <v/>
      </c>
    </row>
    <row r="5018">
      <c r="F5018">
        <f>F5017+1</f>
        <v/>
      </c>
      <c r="G5018" s="92">
        <f>EXP($C$12+$C$8*_xlfn.NORM.S.INV(RAND()))</f>
        <v/>
      </c>
    </row>
    <row r="5019">
      <c r="F5019">
        <f>F5018+1</f>
        <v/>
      </c>
      <c r="G5019" s="92">
        <f>EXP($C$12+$C$8*_xlfn.NORM.S.INV(RAND()))</f>
        <v/>
      </c>
    </row>
    <row r="5020">
      <c r="F5020">
        <f>F5019+1</f>
        <v/>
      </c>
      <c r="G5020" s="92">
        <f>EXP($C$12+$C$8*_xlfn.NORM.S.INV(RAND()))</f>
        <v/>
      </c>
    </row>
    <row r="5021">
      <c r="F5021">
        <f>F5020+1</f>
        <v/>
      </c>
      <c r="G5021" s="92">
        <f>EXP($C$12+$C$8*_xlfn.NORM.S.INV(RAND()))</f>
        <v/>
      </c>
    </row>
    <row r="5022">
      <c r="F5022">
        <f>F5021+1</f>
        <v/>
      </c>
      <c r="G5022" s="92">
        <f>EXP($C$12+$C$8*_xlfn.NORM.S.INV(RAND()))</f>
        <v/>
      </c>
    </row>
    <row r="5023">
      <c r="F5023">
        <f>F5022+1</f>
        <v/>
      </c>
      <c r="G5023" s="92">
        <f>EXP($C$12+$C$8*_xlfn.NORM.S.INV(RAND()))</f>
        <v/>
      </c>
    </row>
    <row r="5024">
      <c r="F5024">
        <f>F5023+1</f>
        <v/>
      </c>
      <c r="G5024" s="92">
        <f>EXP($C$12+$C$8*_xlfn.NORM.S.INV(RAND()))</f>
        <v/>
      </c>
    </row>
    <row r="5025">
      <c r="F5025">
        <f>F5024+1</f>
        <v/>
      </c>
      <c r="G5025" s="92">
        <f>EXP($C$12+$C$8*_xlfn.NORM.S.INV(RAND()))</f>
        <v/>
      </c>
    </row>
    <row r="5026">
      <c r="F5026">
        <f>F5025+1</f>
        <v/>
      </c>
      <c r="G5026" s="92">
        <f>EXP($C$12+$C$8*_xlfn.NORM.S.INV(RAND()))</f>
        <v/>
      </c>
    </row>
    <row r="5027">
      <c r="F5027">
        <f>F5026+1</f>
        <v/>
      </c>
      <c r="G5027" s="92">
        <f>EXP($C$12+$C$8*_xlfn.NORM.S.INV(RAND()))</f>
        <v/>
      </c>
    </row>
    <row r="5028">
      <c r="F5028">
        <f>F5027+1</f>
        <v/>
      </c>
      <c r="G5028" s="92">
        <f>EXP($C$12+$C$8*_xlfn.NORM.S.INV(RAND()))</f>
        <v/>
      </c>
    </row>
    <row r="5029">
      <c r="F5029">
        <f>F5028+1</f>
        <v/>
      </c>
      <c r="G5029" s="92">
        <f>EXP($C$12+$C$8*_xlfn.NORM.S.INV(RAND()))</f>
        <v/>
      </c>
    </row>
    <row r="5030">
      <c r="F5030">
        <f>F5029+1</f>
        <v/>
      </c>
      <c r="G5030" s="92">
        <f>EXP($C$12+$C$8*_xlfn.NORM.S.INV(RAND()))</f>
        <v/>
      </c>
    </row>
    <row r="5031">
      <c r="F5031">
        <f>F5030+1</f>
        <v/>
      </c>
      <c r="G5031" s="92">
        <f>EXP($C$12+$C$8*_xlfn.NORM.S.INV(RAND()))</f>
        <v/>
      </c>
    </row>
    <row r="5032">
      <c r="F5032">
        <f>F5031+1</f>
        <v/>
      </c>
      <c r="G5032" s="92">
        <f>EXP($C$12+$C$8*_xlfn.NORM.S.INV(RAND()))</f>
        <v/>
      </c>
    </row>
    <row r="5033">
      <c r="F5033">
        <f>F5032+1</f>
        <v/>
      </c>
      <c r="G5033" s="92">
        <f>EXP($C$12+$C$8*_xlfn.NORM.S.INV(RAND()))</f>
        <v/>
      </c>
    </row>
    <row r="5034">
      <c r="F5034">
        <f>F5033+1</f>
        <v/>
      </c>
      <c r="G5034" s="92">
        <f>EXP($C$12+$C$8*_xlfn.NORM.S.INV(RAND()))</f>
        <v/>
      </c>
    </row>
    <row r="5035">
      <c r="F5035">
        <f>F5034+1</f>
        <v/>
      </c>
      <c r="G5035" s="92">
        <f>EXP($C$12+$C$8*_xlfn.NORM.S.INV(RAND()))</f>
        <v/>
      </c>
    </row>
    <row r="5036">
      <c r="F5036">
        <f>F5035+1</f>
        <v/>
      </c>
      <c r="G5036" s="92">
        <f>EXP($C$12+$C$8*_xlfn.NORM.S.INV(RAND()))</f>
        <v/>
      </c>
    </row>
    <row r="5037">
      <c r="F5037">
        <f>F5036+1</f>
        <v/>
      </c>
      <c r="G5037" s="92">
        <f>EXP($C$12+$C$8*_xlfn.NORM.S.INV(RAND()))</f>
        <v/>
      </c>
    </row>
    <row r="5038">
      <c r="F5038">
        <f>F5037+1</f>
        <v/>
      </c>
      <c r="G5038" s="92">
        <f>EXP($C$12+$C$8*_xlfn.NORM.S.INV(RAND()))</f>
        <v/>
      </c>
    </row>
    <row r="5039">
      <c r="F5039">
        <f>F5038+1</f>
        <v/>
      </c>
      <c r="G5039" s="92">
        <f>EXP($C$12+$C$8*_xlfn.NORM.S.INV(RAND()))</f>
        <v/>
      </c>
    </row>
    <row r="5040">
      <c r="F5040">
        <f>F5039+1</f>
        <v/>
      </c>
      <c r="G5040" s="92">
        <f>EXP($C$12+$C$8*_xlfn.NORM.S.INV(RAND()))</f>
        <v/>
      </c>
    </row>
    <row r="5041">
      <c r="F5041">
        <f>F5040+1</f>
        <v/>
      </c>
      <c r="G5041" s="92">
        <f>EXP($C$12+$C$8*_xlfn.NORM.S.INV(RAND()))</f>
        <v/>
      </c>
    </row>
    <row r="5042">
      <c r="F5042">
        <f>F5041+1</f>
        <v/>
      </c>
      <c r="G5042" s="92">
        <f>EXP($C$12+$C$8*_xlfn.NORM.S.INV(RAND()))</f>
        <v/>
      </c>
    </row>
    <row r="5043">
      <c r="F5043">
        <f>F5042+1</f>
        <v/>
      </c>
      <c r="G5043" s="92">
        <f>EXP($C$12+$C$8*_xlfn.NORM.S.INV(RAND()))</f>
        <v/>
      </c>
    </row>
    <row r="5044">
      <c r="F5044">
        <f>F5043+1</f>
        <v/>
      </c>
      <c r="G5044" s="92">
        <f>EXP($C$12+$C$8*_xlfn.NORM.S.INV(RAND()))</f>
        <v/>
      </c>
    </row>
    <row r="5045">
      <c r="F5045">
        <f>F5044+1</f>
        <v/>
      </c>
      <c r="G5045" s="92">
        <f>EXP($C$12+$C$8*_xlfn.NORM.S.INV(RAND()))</f>
        <v/>
      </c>
    </row>
    <row r="5046">
      <c r="F5046">
        <f>F5045+1</f>
        <v/>
      </c>
      <c r="G5046" s="92">
        <f>EXP($C$12+$C$8*_xlfn.NORM.S.INV(RAND()))</f>
        <v/>
      </c>
    </row>
    <row r="5047">
      <c r="F5047">
        <f>F5046+1</f>
        <v/>
      </c>
      <c r="G5047" s="92">
        <f>EXP($C$12+$C$8*_xlfn.NORM.S.INV(RAND()))</f>
        <v/>
      </c>
    </row>
    <row r="5048">
      <c r="F5048">
        <f>F5047+1</f>
        <v/>
      </c>
      <c r="G5048" s="92">
        <f>EXP($C$12+$C$8*_xlfn.NORM.S.INV(RAND()))</f>
        <v/>
      </c>
    </row>
    <row r="5049">
      <c r="F5049">
        <f>F5048+1</f>
        <v/>
      </c>
      <c r="G5049" s="92">
        <f>EXP($C$12+$C$8*_xlfn.NORM.S.INV(RAND()))</f>
        <v/>
      </c>
    </row>
    <row r="5050">
      <c r="F5050">
        <f>F5049+1</f>
        <v/>
      </c>
      <c r="G5050" s="92">
        <f>EXP($C$12+$C$8*_xlfn.NORM.S.INV(RAND()))</f>
        <v/>
      </c>
    </row>
    <row r="5051">
      <c r="F5051">
        <f>F5050+1</f>
        <v/>
      </c>
      <c r="G5051" s="92">
        <f>EXP($C$12+$C$8*_xlfn.NORM.S.INV(RAND()))</f>
        <v/>
      </c>
    </row>
    <row r="5052">
      <c r="F5052">
        <f>F5051+1</f>
        <v/>
      </c>
      <c r="G5052" s="92">
        <f>EXP($C$12+$C$8*_xlfn.NORM.S.INV(RAND()))</f>
        <v/>
      </c>
    </row>
    <row r="5053">
      <c r="F5053">
        <f>F5052+1</f>
        <v/>
      </c>
      <c r="G5053" s="92">
        <f>EXP($C$12+$C$8*_xlfn.NORM.S.INV(RAND()))</f>
        <v/>
      </c>
    </row>
    <row r="5054">
      <c r="F5054">
        <f>F5053+1</f>
        <v/>
      </c>
      <c r="G5054" s="92">
        <f>EXP($C$12+$C$8*_xlfn.NORM.S.INV(RAND()))</f>
        <v/>
      </c>
    </row>
    <row r="5055">
      <c r="F5055">
        <f>F5054+1</f>
        <v/>
      </c>
      <c r="G5055" s="92">
        <f>EXP($C$12+$C$8*_xlfn.NORM.S.INV(RAND()))</f>
        <v/>
      </c>
    </row>
    <row r="5056">
      <c r="F5056">
        <f>F5055+1</f>
        <v/>
      </c>
      <c r="G5056" s="92">
        <f>EXP($C$12+$C$8*_xlfn.NORM.S.INV(RAND()))</f>
        <v/>
      </c>
    </row>
    <row r="5057">
      <c r="F5057">
        <f>F5056+1</f>
        <v/>
      </c>
      <c r="G5057" s="92">
        <f>EXP($C$12+$C$8*_xlfn.NORM.S.INV(RAND()))</f>
        <v/>
      </c>
    </row>
    <row r="5058">
      <c r="F5058">
        <f>F5057+1</f>
        <v/>
      </c>
      <c r="G5058" s="92">
        <f>EXP($C$12+$C$8*_xlfn.NORM.S.INV(RAND()))</f>
        <v/>
      </c>
    </row>
    <row r="5059">
      <c r="F5059">
        <f>F5058+1</f>
        <v/>
      </c>
      <c r="G5059" s="92">
        <f>EXP($C$12+$C$8*_xlfn.NORM.S.INV(RAND()))</f>
        <v/>
      </c>
    </row>
    <row r="5060">
      <c r="F5060">
        <f>F5059+1</f>
        <v/>
      </c>
      <c r="G5060" s="92">
        <f>EXP($C$12+$C$8*_xlfn.NORM.S.INV(RAND()))</f>
        <v/>
      </c>
    </row>
    <row r="5061">
      <c r="F5061">
        <f>F5060+1</f>
        <v/>
      </c>
      <c r="G5061" s="92">
        <f>EXP($C$12+$C$8*_xlfn.NORM.S.INV(RAND()))</f>
        <v/>
      </c>
    </row>
    <row r="5062">
      <c r="F5062">
        <f>F5061+1</f>
        <v/>
      </c>
      <c r="G5062" s="92">
        <f>EXP($C$12+$C$8*_xlfn.NORM.S.INV(RAND()))</f>
        <v/>
      </c>
    </row>
    <row r="5063">
      <c r="F5063">
        <f>F5062+1</f>
        <v/>
      </c>
      <c r="G5063" s="92">
        <f>EXP($C$12+$C$8*_xlfn.NORM.S.INV(RAND()))</f>
        <v/>
      </c>
    </row>
    <row r="5064">
      <c r="F5064">
        <f>F5063+1</f>
        <v/>
      </c>
      <c r="G5064" s="92">
        <f>EXP($C$12+$C$8*_xlfn.NORM.S.INV(RAND()))</f>
        <v/>
      </c>
    </row>
    <row r="5065">
      <c r="F5065">
        <f>F5064+1</f>
        <v/>
      </c>
      <c r="G5065" s="92">
        <f>EXP($C$12+$C$8*_xlfn.NORM.S.INV(RAND()))</f>
        <v/>
      </c>
    </row>
    <row r="5066">
      <c r="F5066">
        <f>F5065+1</f>
        <v/>
      </c>
      <c r="G5066" s="92">
        <f>EXP($C$12+$C$8*_xlfn.NORM.S.INV(RAND()))</f>
        <v/>
      </c>
    </row>
    <row r="5067">
      <c r="F5067">
        <f>F5066+1</f>
        <v/>
      </c>
      <c r="G5067" s="92">
        <f>EXP($C$12+$C$8*_xlfn.NORM.S.INV(RAND()))</f>
        <v/>
      </c>
    </row>
    <row r="5068">
      <c r="F5068">
        <f>F5067+1</f>
        <v/>
      </c>
      <c r="G5068" s="92">
        <f>EXP($C$12+$C$8*_xlfn.NORM.S.INV(RAND()))</f>
        <v/>
      </c>
    </row>
    <row r="5069">
      <c r="F5069">
        <f>F5068+1</f>
        <v/>
      </c>
      <c r="G5069" s="92">
        <f>EXP($C$12+$C$8*_xlfn.NORM.S.INV(RAND()))</f>
        <v/>
      </c>
    </row>
    <row r="5070">
      <c r="F5070">
        <f>F5069+1</f>
        <v/>
      </c>
      <c r="G5070" s="92">
        <f>EXP($C$12+$C$8*_xlfn.NORM.S.INV(RAND()))</f>
        <v/>
      </c>
    </row>
    <row r="5071">
      <c r="F5071">
        <f>F5070+1</f>
        <v/>
      </c>
      <c r="G5071" s="92">
        <f>EXP($C$12+$C$8*_xlfn.NORM.S.INV(RAND()))</f>
        <v/>
      </c>
    </row>
    <row r="5072">
      <c r="F5072">
        <f>F5071+1</f>
        <v/>
      </c>
      <c r="G5072" s="92">
        <f>EXP($C$12+$C$8*_xlfn.NORM.S.INV(RAND()))</f>
        <v/>
      </c>
    </row>
    <row r="5073">
      <c r="F5073">
        <f>F5072+1</f>
        <v/>
      </c>
      <c r="G5073" s="92">
        <f>EXP($C$12+$C$8*_xlfn.NORM.S.INV(RAND()))</f>
        <v/>
      </c>
    </row>
    <row r="5074">
      <c r="F5074">
        <f>F5073+1</f>
        <v/>
      </c>
      <c r="G5074" s="92">
        <f>EXP($C$12+$C$8*_xlfn.NORM.S.INV(RAND()))</f>
        <v/>
      </c>
    </row>
    <row r="5075">
      <c r="F5075">
        <f>F5074+1</f>
        <v/>
      </c>
      <c r="G5075" s="92">
        <f>EXP($C$12+$C$8*_xlfn.NORM.S.INV(RAND()))</f>
        <v/>
      </c>
    </row>
    <row r="5076">
      <c r="F5076">
        <f>F5075+1</f>
        <v/>
      </c>
      <c r="G5076" s="92">
        <f>EXP($C$12+$C$8*_xlfn.NORM.S.INV(RAND()))</f>
        <v/>
      </c>
    </row>
    <row r="5077">
      <c r="F5077">
        <f>F5076+1</f>
        <v/>
      </c>
      <c r="G5077" s="92">
        <f>EXP($C$12+$C$8*_xlfn.NORM.S.INV(RAND()))</f>
        <v/>
      </c>
    </row>
    <row r="5078">
      <c r="F5078">
        <f>F5077+1</f>
        <v/>
      </c>
      <c r="G5078" s="92">
        <f>EXP($C$12+$C$8*_xlfn.NORM.S.INV(RAND()))</f>
        <v/>
      </c>
    </row>
    <row r="5079">
      <c r="F5079">
        <f>F5078+1</f>
        <v/>
      </c>
      <c r="G5079" s="92">
        <f>EXP($C$12+$C$8*_xlfn.NORM.S.INV(RAND()))</f>
        <v/>
      </c>
    </row>
    <row r="5080">
      <c r="F5080">
        <f>F5079+1</f>
        <v/>
      </c>
      <c r="G5080" s="92">
        <f>EXP($C$12+$C$8*_xlfn.NORM.S.INV(RAND()))</f>
        <v/>
      </c>
    </row>
    <row r="5081">
      <c r="F5081">
        <f>F5080+1</f>
        <v/>
      </c>
      <c r="G5081" s="92">
        <f>EXP($C$12+$C$8*_xlfn.NORM.S.INV(RAND()))</f>
        <v/>
      </c>
    </row>
    <row r="5082">
      <c r="F5082">
        <f>F5081+1</f>
        <v/>
      </c>
      <c r="G5082" s="92">
        <f>EXP($C$12+$C$8*_xlfn.NORM.S.INV(RAND()))</f>
        <v/>
      </c>
    </row>
    <row r="5083">
      <c r="F5083">
        <f>F5082+1</f>
        <v/>
      </c>
      <c r="G5083" s="92">
        <f>EXP($C$12+$C$8*_xlfn.NORM.S.INV(RAND()))</f>
        <v/>
      </c>
    </row>
    <row r="5084">
      <c r="F5084">
        <f>F5083+1</f>
        <v/>
      </c>
      <c r="G5084" s="92">
        <f>EXP($C$12+$C$8*_xlfn.NORM.S.INV(RAND()))</f>
        <v/>
      </c>
    </row>
    <row r="5085">
      <c r="F5085">
        <f>F5084+1</f>
        <v/>
      </c>
      <c r="G5085" s="92">
        <f>EXP($C$12+$C$8*_xlfn.NORM.S.INV(RAND()))</f>
        <v/>
      </c>
    </row>
    <row r="5086">
      <c r="F5086">
        <f>F5085+1</f>
        <v/>
      </c>
      <c r="G5086" s="92">
        <f>EXP($C$12+$C$8*_xlfn.NORM.S.INV(RAND()))</f>
        <v/>
      </c>
    </row>
    <row r="5087">
      <c r="F5087">
        <f>F5086+1</f>
        <v/>
      </c>
      <c r="G5087" s="92">
        <f>EXP($C$12+$C$8*_xlfn.NORM.S.INV(RAND()))</f>
        <v/>
      </c>
    </row>
    <row r="5088">
      <c r="F5088">
        <f>F5087+1</f>
        <v/>
      </c>
      <c r="G5088" s="92">
        <f>EXP($C$12+$C$8*_xlfn.NORM.S.INV(RAND()))</f>
        <v/>
      </c>
    </row>
    <row r="5089">
      <c r="F5089">
        <f>F5088+1</f>
        <v/>
      </c>
      <c r="G5089" s="92">
        <f>EXP($C$12+$C$8*_xlfn.NORM.S.INV(RAND()))</f>
        <v/>
      </c>
    </row>
    <row r="5090">
      <c r="F5090">
        <f>F5089+1</f>
        <v/>
      </c>
      <c r="G5090" s="92">
        <f>EXP($C$12+$C$8*_xlfn.NORM.S.INV(RAND()))</f>
        <v/>
      </c>
    </row>
    <row r="5091">
      <c r="F5091">
        <f>F5090+1</f>
        <v/>
      </c>
      <c r="G5091" s="92">
        <f>EXP($C$12+$C$8*_xlfn.NORM.S.INV(RAND()))</f>
        <v/>
      </c>
    </row>
    <row r="5092">
      <c r="F5092">
        <f>F5091+1</f>
        <v/>
      </c>
      <c r="G5092" s="92">
        <f>EXP($C$12+$C$8*_xlfn.NORM.S.INV(RAND()))</f>
        <v/>
      </c>
    </row>
    <row r="5093">
      <c r="F5093">
        <f>F5092+1</f>
        <v/>
      </c>
      <c r="G5093" s="92">
        <f>EXP($C$12+$C$8*_xlfn.NORM.S.INV(RAND()))</f>
        <v/>
      </c>
    </row>
    <row r="5094">
      <c r="F5094">
        <f>F5093+1</f>
        <v/>
      </c>
      <c r="G5094" s="92">
        <f>EXP($C$12+$C$8*_xlfn.NORM.S.INV(RAND()))</f>
        <v/>
      </c>
    </row>
    <row r="5095">
      <c r="F5095">
        <f>F5094+1</f>
        <v/>
      </c>
      <c r="G5095" s="92">
        <f>EXP($C$12+$C$8*_xlfn.NORM.S.INV(RAND()))</f>
        <v/>
      </c>
    </row>
    <row r="5096">
      <c r="F5096">
        <f>F5095+1</f>
        <v/>
      </c>
      <c r="G5096" s="92">
        <f>EXP($C$12+$C$8*_xlfn.NORM.S.INV(RAND()))</f>
        <v/>
      </c>
    </row>
    <row r="5097">
      <c r="F5097">
        <f>F5096+1</f>
        <v/>
      </c>
      <c r="G5097" s="92">
        <f>EXP($C$12+$C$8*_xlfn.NORM.S.INV(RAND()))</f>
        <v/>
      </c>
    </row>
    <row r="5098">
      <c r="F5098">
        <f>F5097+1</f>
        <v/>
      </c>
      <c r="G5098" s="92">
        <f>EXP($C$12+$C$8*_xlfn.NORM.S.INV(RAND()))</f>
        <v/>
      </c>
    </row>
    <row r="5099">
      <c r="F5099">
        <f>F5098+1</f>
        <v/>
      </c>
      <c r="G5099" s="92">
        <f>EXP($C$12+$C$8*_xlfn.NORM.S.INV(RAND()))</f>
        <v/>
      </c>
    </row>
    <row r="5100">
      <c r="F5100">
        <f>F5099+1</f>
        <v/>
      </c>
      <c r="G5100" s="92">
        <f>EXP($C$12+$C$8*_xlfn.NORM.S.INV(RAND()))</f>
        <v/>
      </c>
    </row>
    <row r="5101">
      <c r="F5101">
        <f>F5100+1</f>
        <v/>
      </c>
      <c r="G5101" s="92">
        <f>EXP($C$12+$C$8*_xlfn.NORM.S.INV(RAND()))</f>
        <v/>
      </c>
    </row>
    <row r="5102">
      <c r="F5102">
        <f>F5101+1</f>
        <v/>
      </c>
      <c r="G5102" s="92">
        <f>EXP($C$12+$C$8*_xlfn.NORM.S.INV(RAND()))</f>
        <v/>
      </c>
    </row>
    <row r="5103">
      <c r="F5103">
        <f>F5102+1</f>
        <v/>
      </c>
      <c r="G5103" s="92">
        <f>EXP($C$12+$C$8*_xlfn.NORM.S.INV(RAND()))</f>
        <v/>
      </c>
    </row>
    <row r="5104">
      <c r="F5104">
        <f>F5103+1</f>
        <v/>
      </c>
      <c r="G5104" s="92">
        <f>EXP($C$12+$C$8*_xlfn.NORM.S.INV(RAND()))</f>
        <v/>
      </c>
    </row>
    <row r="5105">
      <c r="F5105">
        <f>F5104+1</f>
        <v/>
      </c>
      <c r="G5105" s="92">
        <f>EXP($C$12+$C$8*_xlfn.NORM.S.INV(RAND()))</f>
        <v/>
      </c>
    </row>
    <row r="5106">
      <c r="F5106">
        <f>F5105+1</f>
        <v/>
      </c>
      <c r="G5106" s="92">
        <f>EXP($C$12+$C$8*_xlfn.NORM.S.INV(RAND()))</f>
        <v/>
      </c>
    </row>
    <row r="5107">
      <c r="F5107">
        <f>F5106+1</f>
        <v/>
      </c>
      <c r="G5107" s="92">
        <f>EXP($C$12+$C$8*_xlfn.NORM.S.INV(RAND()))</f>
        <v/>
      </c>
    </row>
    <row r="5108">
      <c r="F5108">
        <f>F5107+1</f>
        <v/>
      </c>
      <c r="G5108" s="92">
        <f>EXP($C$12+$C$8*_xlfn.NORM.S.INV(RAND()))</f>
        <v/>
      </c>
    </row>
    <row r="5109">
      <c r="F5109">
        <f>F5108+1</f>
        <v/>
      </c>
      <c r="G5109" s="92">
        <f>EXP($C$12+$C$8*_xlfn.NORM.S.INV(RAND()))</f>
        <v/>
      </c>
    </row>
    <row r="5110">
      <c r="F5110">
        <f>F5109+1</f>
        <v/>
      </c>
      <c r="G5110" s="92">
        <f>EXP($C$12+$C$8*_xlfn.NORM.S.INV(RAND()))</f>
        <v/>
      </c>
    </row>
    <row r="5111">
      <c r="F5111">
        <f>F5110+1</f>
        <v/>
      </c>
      <c r="G5111" s="92">
        <f>EXP($C$12+$C$8*_xlfn.NORM.S.INV(RAND()))</f>
        <v/>
      </c>
    </row>
    <row r="5112">
      <c r="F5112">
        <f>F5111+1</f>
        <v/>
      </c>
      <c r="G5112" s="92">
        <f>EXP($C$12+$C$8*_xlfn.NORM.S.INV(RAND()))</f>
        <v/>
      </c>
    </row>
    <row r="5113">
      <c r="F5113">
        <f>F5112+1</f>
        <v/>
      </c>
      <c r="G5113" s="92">
        <f>EXP($C$12+$C$8*_xlfn.NORM.S.INV(RAND()))</f>
        <v/>
      </c>
    </row>
    <row r="5114">
      <c r="F5114">
        <f>F5113+1</f>
        <v/>
      </c>
      <c r="G5114" s="92">
        <f>EXP($C$12+$C$8*_xlfn.NORM.S.INV(RAND()))</f>
        <v/>
      </c>
    </row>
    <row r="5115">
      <c r="F5115">
        <f>F5114+1</f>
        <v/>
      </c>
      <c r="G5115" s="92">
        <f>EXP($C$12+$C$8*_xlfn.NORM.S.INV(RAND()))</f>
        <v/>
      </c>
    </row>
    <row r="5116">
      <c r="F5116">
        <f>F5115+1</f>
        <v/>
      </c>
      <c r="G5116" s="92">
        <f>EXP($C$12+$C$8*_xlfn.NORM.S.INV(RAND()))</f>
        <v/>
      </c>
    </row>
    <row r="5117">
      <c r="F5117">
        <f>F5116+1</f>
        <v/>
      </c>
      <c r="G5117" s="92">
        <f>EXP($C$12+$C$8*_xlfn.NORM.S.INV(RAND()))</f>
        <v/>
      </c>
    </row>
    <row r="5118">
      <c r="F5118">
        <f>F5117+1</f>
        <v/>
      </c>
      <c r="G5118" s="92">
        <f>EXP($C$12+$C$8*_xlfn.NORM.S.INV(RAND()))</f>
        <v/>
      </c>
    </row>
    <row r="5119">
      <c r="F5119">
        <f>F5118+1</f>
        <v/>
      </c>
      <c r="G5119" s="92">
        <f>EXP($C$12+$C$8*_xlfn.NORM.S.INV(RAND()))</f>
        <v/>
      </c>
    </row>
    <row r="5120">
      <c r="F5120">
        <f>F5119+1</f>
        <v/>
      </c>
      <c r="G5120" s="92">
        <f>EXP($C$12+$C$8*_xlfn.NORM.S.INV(RAND()))</f>
        <v/>
      </c>
    </row>
    <row r="5121">
      <c r="F5121">
        <f>F5120+1</f>
        <v/>
      </c>
      <c r="G5121" s="92">
        <f>EXP($C$12+$C$8*_xlfn.NORM.S.INV(RAND()))</f>
        <v/>
      </c>
    </row>
    <row r="5122">
      <c r="F5122">
        <f>F5121+1</f>
        <v/>
      </c>
      <c r="G5122" s="92">
        <f>EXP($C$12+$C$8*_xlfn.NORM.S.INV(RAND()))</f>
        <v/>
      </c>
    </row>
    <row r="5123">
      <c r="F5123">
        <f>F5122+1</f>
        <v/>
      </c>
      <c r="G5123" s="92">
        <f>EXP($C$12+$C$8*_xlfn.NORM.S.INV(RAND()))</f>
        <v/>
      </c>
    </row>
    <row r="5124">
      <c r="F5124">
        <f>F5123+1</f>
        <v/>
      </c>
      <c r="G5124" s="92">
        <f>EXP($C$12+$C$8*_xlfn.NORM.S.INV(RAND()))</f>
        <v/>
      </c>
    </row>
    <row r="5125">
      <c r="F5125">
        <f>F5124+1</f>
        <v/>
      </c>
      <c r="G5125" s="92">
        <f>EXP($C$12+$C$8*_xlfn.NORM.S.INV(RAND()))</f>
        <v/>
      </c>
    </row>
    <row r="5126">
      <c r="F5126">
        <f>F5125+1</f>
        <v/>
      </c>
      <c r="G5126" s="92">
        <f>EXP($C$12+$C$8*_xlfn.NORM.S.INV(RAND()))</f>
        <v/>
      </c>
    </row>
    <row r="5127">
      <c r="F5127">
        <f>F5126+1</f>
        <v/>
      </c>
      <c r="G5127" s="92">
        <f>EXP($C$12+$C$8*_xlfn.NORM.S.INV(RAND()))</f>
        <v/>
      </c>
    </row>
    <row r="5128">
      <c r="F5128">
        <f>F5127+1</f>
        <v/>
      </c>
      <c r="G5128" s="92">
        <f>EXP($C$12+$C$8*_xlfn.NORM.S.INV(RAND()))</f>
        <v/>
      </c>
    </row>
    <row r="5129">
      <c r="F5129">
        <f>F5128+1</f>
        <v/>
      </c>
      <c r="G5129" s="92">
        <f>EXP($C$12+$C$8*_xlfn.NORM.S.INV(RAND()))</f>
        <v/>
      </c>
    </row>
    <row r="5130">
      <c r="F5130">
        <f>F5129+1</f>
        <v/>
      </c>
      <c r="G5130" s="92">
        <f>EXP($C$12+$C$8*_xlfn.NORM.S.INV(RAND()))</f>
        <v/>
      </c>
    </row>
    <row r="5131">
      <c r="F5131">
        <f>F5130+1</f>
        <v/>
      </c>
      <c r="G5131" s="92">
        <f>EXP($C$12+$C$8*_xlfn.NORM.S.INV(RAND()))</f>
        <v/>
      </c>
    </row>
    <row r="5132">
      <c r="F5132">
        <f>F5131+1</f>
        <v/>
      </c>
      <c r="G5132" s="92">
        <f>EXP($C$12+$C$8*_xlfn.NORM.S.INV(RAND()))</f>
        <v/>
      </c>
    </row>
    <row r="5133">
      <c r="F5133">
        <f>F5132+1</f>
        <v/>
      </c>
      <c r="G5133" s="92">
        <f>EXP($C$12+$C$8*_xlfn.NORM.S.INV(RAND()))</f>
        <v/>
      </c>
    </row>
    <row r="5134">
      <c r="F5134">
        <f>F5133+1</f>
        <v/>
      </c>
      <c r="G5134" s="92">
        <f>EXP($C$12+$C$8*_xlfn.NORM.S.INV(RAND()))</f>
        <v/>
      </c>
    </row>
    <row r="5135">
      <c r="F5135">
        <f>F5134+1</f>
        <v/>
      </c>
      <c r="G5135" s="92">
        <f>EXP($C$12+$C$8*_xlfn.NORM.S.INV(RAND()))</f>
        <v/>
      </c>
    </row>
    <row r="5136">
      <c r="F5136">
        <f>F5135+1</f>
        <v/>
      </c>
      <c r="G5136" s="92">
        <f>EXP($C$12+$C$8*_xlfn.NORM.S.INV(RAND()))</f>
        <v/>
      </c>
    </row>
    <row r="5137">
      <c r="F5137">
        <f>F5136+1</f>
        <v/>
      </c>
      <c r="G5137" s="92">
        <f>EXP($C$12+$C$8*_xlfn.NORM.S.INV(RAND()))</f>
        <v/>
      </c>
    </row>
    <row r="5138">
      <c r="F5138">
        <f>F5137+1</f>
        <v/>
      </c>
      <c r="G5138" s="92">
        <f>EXP($C$12+$C$8*_xlfn.NORM.S.INV(RAND()))</f>
        <v/>
      </c>
    </row>
    <row r="5139">
      <c r="F5139">
        <f>F5138+1</f>
        <v/>
      </c>
      <c r="G5139" s="92">
        <f>EXP($C$12+$C$8*_xlfn.NORM.S.INV(RAND()))</f>
        <v/>
      </c>
    </row>
    <row r="5140">
      <c r="F5140">
        <f>F5139+1</f>
        <v/>
      </c>
      <c r="G5140" s="92">
        <f>EXP($C$12+$C$8*_xlfn.NORM.S.INV(RAND()))</f>
        <v/>
      </c>
    </row>
    <row r="5141">
      <c r="F5141">
        <f>F5140+1</f>
        <v/>
      </c>
      <c r="G5141" s="92">
        <f>EXP($C$12+$C$8*_xlfn.NORM.S.INV(RAND()))</f>
        <v/>
      </c>
    </row>
    <row r="5142">
      <c r="F5142">
        <f>F5141+1</f>
        <v/>
      </c>
      <c r="G5142" s="92">
        <f>EXP($C$12+$C$8*_xlfn.NORM.S.INV(RAND()))</f>
        <v/>
      </c>
    </row>
    <row r="5143">
      <c r="F5143">
        <f>F5142+1</f>
        <v/>
      </c>
      <c r="G5143" s="92">
        <f>EXP($C$12+$C$8*_xlfn.NORM.S.INV(RAND()))</f>
        <v/>
      </c>
    </row>
    <row r="5144">
      <c r="F5144">
        <f>F5143+1</f>
        <v/>
      </c>
      <c r="G5144" s="92">
        <f>EXP($C$12+$C$8*_xlfn.NORM.S.INV(RAND()))</f>
        <v/>
      </c>
    </row>
    <row r="5145">
      <c r="F5145">
        <f>F5144+1</f>
        <v/>
      </c>
      <c r="G5145" s="92">
        <f>EXP($C$12+$C$8*_xlfn.NORM.S.INV(RAND()))</f>
        <v/>
      </c>
    </row>
    <row r="5146">
      <c r="F5146">
        <f>F5145+1</f>
        <v/>
      </c>
      <c r="G5146" s="92">
        <f>EXP($C$12+$C$8*_xlfn.NORM.S.INV(RAND()))</f>
        <v/>
      </c>
    </row>
    <row r="5147">
      <c r="F5147">
        <f>F5146+1</f>
        <v/>
      </c>
      <c r="G5147" s="92">
        <f>EXP($C$12+$C$8*_xlfn.NORM.S.INV(RAND()))</f>
        <v/>
      </c>
    </row>
    <row r="5148">
      <c r="F5148">
        <f>F5147+1</f>
        <v/>
      </c>
      <c r="G5148" s="92">
        <f>EXP($C$12+$C$8*_xlfn.NORM.S.INV(RAND()))</f>
        <v/>
      </c>
    </row>
    <row r="5149">
      <c r="F5149">
        <f>F5148+1</f>
        <v/>
      </c>
      <c r="G5149" s="92">
        <f>EXP($C$12+$C$8*_xlfn.NORM.S.INV(RAND()))</f>
        <v/>
      </c>
    </row>
    <row r="5150">
      <c r="F5150">
        <f>F5149+1</f>
        <v/>
      </c>
      <c r="G5150" s="92">
        <f>EXP($C$12+$C$8*_xlfn.NORM.S.INV(RAND()))</f>
        <v/>
      </c>
    </row>
    <row r="5151">
      <c r="F5151">
        <f>F5150+1</f>
        <v/>
      </c>
      <c r="G5151" s="92">
        <f>EXP($C$12+$C$8*_xlfn.NORM.S.INV(RAND()))</f>
        <v/>
      </c>
    </row>
    <row r="5152">
      <c r="F5152">
        <f>F5151+1</f>
        <v/>
      </c>
      <c r="G5152" s="92">
        <f>EXP($C$12+$C$8*_xlfn.NORM.S.INV(RAND()))</f>
        <v/>
      </c>
    </row>
    <row r="5153">
      <c r="F5153">
        <f>F5152+1</f>
        <v/>
      </c>
      <c r="G5153" s="92">
        <f>EXP($C$12+$C$8*_xlfn.NORM.S.INV(RAND()))</f>
        <v/>
      </c>
    </row>
    <row r="5154">
      <c r="F5154">
        <f>F5153+1</f>
        <v/>
      </c>
      <c r="G5154" s="92">
        <f>EXP($C$12+$C$8*_xlfn.NORM.S.INV(RAND()))</f>
        <v/>
      </c>
    </row>
    <row r="5155">
      <c r="F5155">
        <f>F5154+1</f>
        <v/>
      </c>
      <c r="G5155" s="92">
        <f>EXP($C$12+$C$8*_xlfn.NORM.S.INV(RAND()))</f>
        <v/>
      </c>
    </row>
    <row r="5156">
      <c r="F5156">
        <f>F5155+1</f>
        <v/>
      </c>
      <c r="G5156" s="92">
        <f>EXP($C$12+$C$8*_xlfn.NORM.S.INV(RAND()))</f>
        <v/>
      </c>
    </row>
    <row r="5157">
      <c r="F5157">
        <f>F5156+1</f>
        <v/>
      </c>
      <c r="G5157" s="92">
        <f>EXP($C$12+$C$8*_xlfn.NORM.S.INV(RAND()))</f>
        <v/>
      </c>
    </row>
    <row r="5158">
      <c r="F5158">
        <f>F5157+1</f>
        <v/>
      </c>
      <c r="G5158" s="92">
        <f>EXP($C$12+$C$8*_xlfn.NORM.S.INV(RAND()))</f>
        <v/>
      </c>
    </row>
    <row r="5159">
      <c r="F5159">
        <f>F5158+1</f>
        <v/>
      </c>
      <c r="G5159" s="92">
        <f>EXP($C$12+$C$8*_xlfn.NORM.S.INV(RAND()))</f>
        <v/>
      </c>
    </row>
    <row r="5160">
      <c r="F5160">
        <f>F5159+1</f>
        <v/>
      </c>
      <c r="G5160" s="92">
        <f>EXP($C$12+$C$8*_xlfn.NORM.S.INV(RAND()))</f>
        <v/>
      </c>
    </row>
    <row r="5161">
      <c r="F5161">
        <f>F5160+1</f>
        <v/>
      </c>
      <c r="G5161" s="92">
        <f>EXP($C$12+$C$8*_xlfn.NORM.S.INV(RAND()))</f>
        <v/>
      </c>
    </row>
    <row r="5162">
      <c r="F5162">
        <f>F5161+1</f>
        <v/>
      </c>
      <c r="G5162" s="92">
        <f>EXP($C$12+$C$8*_xlfn.NORM.S.INV(RAND()))</f>
        <v/>
      </c>
    </row>
    <row r="5163">
      <c r="F5163">
        <f>F5162+1</f>
        <v/>
      </c>
      <c r="G5163" s="92">
        <f>EXP($C$12+$C$8*_xlfn.NORM.S.INV(RAND()))</f>
        <v/>
      </c>
    </row>
    <row r="5164">
      <c r="F5164">
        <f>F5163+1</f>
        <v/>
      </c>
      <c r="G5164" s="92">
        <f>EXP($C$12+$C$8*_xlfn.NORM.S.INV(RAND()))</f>
        <v/>
      </c>
    </row>
    <row r="5165">
      <c r="F5165">
        <f>F5164+1</f>
        <v/>
      </c>
      <c r="G5165" s="92">
        <f>EXP($C$12+$C$8*_xlfn.NORM.S.INV(RAND()))</f>
        <v/>
      </c>
    </row>
    <row r="5166">
      <c r="F5166">
        <f>F5165+1</f>
        <v/>
      </c>
      <c r="G5166" s="92">
        <f>EXP($C$12+$C$8*_xlfn.NORM.S.INV(RAND()))</f>
        <v/>
      </c>
    </row>
    <row r="5167">
      <c r="F5167">
        <f>F5166+1</f>
        <v/>
      </c>
      <c r="G5167" s="92">
        <f>EXP($C$12+$C$8*_xlfn.NORM.S.INV(RAND()))</f>
        <v/>
      </c>
    </row>
    <row r="5168">
      <c r="F5168">
        <f>F5167+1</f>
        <v/>
      </c>
      <c r="G5168" s="92">
        <f>EXP($C$12+$C$8*_xlfn.NORM.S.INV(RAND()))</f>
        <v/>
      </c>
    </row>
    <row r="5169">
      <c r="F5169">
        <f>F5168+1</f>
        <v/>
      </c>
      <c r="G5169" s="92">
        <f>EXP($C$12+$C$8*_xlfn.NORM.S.INV(RAND()))</f>
        <v/>
      </c>
    </row>
    <row r="5170">
      <c r="F5170">
        <f>F5169+1</f>
        <v/>
      </c>
      <c r="G5170" s="92">
        <f>EXP($C$12+$C$8*_xlfn.NORM.S.INV(RAND()))</f>
        <v/>
      </c>
    </row>
    <row r="5171">
      <c r="F5171">
        <f>F5170+1</f>
        <v/>
      </c>
      <c r="G5171" s="92">
        <f>EXP($C$12+$C$8*_xlfn.NORM.S.INV(RAND()))</f>
        <v/>
      </c>
    </row>
    <row r="5172">
      <c r="F5172">
        <f>F5171+1</f>
        <v/>
      </c>
      <c r="G5172" s="92">
        <f>EXP($C$12+$C$8*_xlfn.NORM.S.INV(RAND()))</f>
        <v/>
      </c>
    </row>
    <row r="5173">
      <c r="F5173">
        <f>F5172+1</f>
        <v/>
      </c>
      <c r="G5173" s="92">
        <f>EXP($C$12+$C$8*_xlfn.NORM.S.INV(RAND()))</f>
        <v/>
      </c>
    </row>
    <row r="5174">
      <c r="F5174">
        <f>F5173+1</f>
        <v/>
      </c>
      <c r="G5174" s="92">
        <f>EXP($C$12+$C$8*_xlfn.NORM.S.INV(RAND()))</f>
        <v/>
      </c>
    </row>
    <row r="5175">
      <c r="F5175">
        <f>F5174+1</f>
        <v/>
      </c>
      <c r="G5175" s="92">
        <f>EXP($C$12+$C$8*_xlfn.NORM.S.INV(RAND()))</f>
        <v/>
      </c>
    </row>
    <row r="5176">
      <c r="F5176">
        <f>F5175+1</f>
        <v/>
      </c>
      <c r="G5176" s="92">
        <f>EXP($C$12+$C$8*_xlfn.NORM.S.INV(RAND()))</f>
        <v/>
      </c>
    </row>
    <row r="5177">
      <c r="F5177">
        <f>F5176+1</f>
        <v/>
      </c>
      <c r="G5177" s="92">
        <f>EXP($C$12+$C$8*_xlfn.NORM.S.INV(RAND()))</f>
        <v/>
      </c>
    </row>
    <row r="5178">
      <c r="F5178">
        <f>F5177+1</f>
        <v/>
      </c>
      <c r="G5178" s="92">
        <f>EXP($C$12+$C$8*_xlfn.NORM.S.INV(RAND()))</f>
        <v/>
      </c>
    </row>
    <row r="5179">
      <c r="F5179">
        <f>F5178+1</f>
        <v/>
      </c>
      <c r="G5179" s="92">
        <f>EXP($C$12+$C$8*_xlfn.NORM.S.INV(RAND()))</f>
        <v/>
      </c>
    </row>
    <row r="5180">
      <c r="F5180">
        <f>F5179+1</f>
        <v/>
      </c>
      <c r="G5180" s="92">
        <f>EXP($C$12+$C$8*_xlfn.NORM.S.INV(RAND()))</f>
        <v/>
      </c>
    </row>
    <row r="5181">
      <c r="F5181">
        <f>F5180+1</f>
        <v/>
      </c>
      <c r="G5181" s="92">
        <f>EXP($C$12+$C$8*_xlfn.NORM.S.INV(RAND()))</f>
        <v/>
      </c>
    </row>
    <row r="5182">
      <c r="F5182">
        <f>F5181+1</f>
        <v/>
      </c>
      <c r="G5182" s="92">
        <f>EXP($C$12+$C$8*_xlfn.NORM.S.INV(RAND()))</f>
        <v/>
      </c>
    </row>
    <row r="5183">
      <c r="F5183">
        <f>F5182+1</f>
        <v/>
      </c>
      <c r="G5183" s="92">
        <f>EXP($C$12+$C$8*_xlfn.NORM.S.INV(RAND()))</f>
        <v/>
      </c>
    </row>
    <row r="5184">
      <c r="F5184">
        <f>F5183+1</f>
        <v/>
      </c>
      <c r="G5184" s="92">
        <f>EXP($C$12+$C$8*_xlfn.NORM.S.INV(RAND()))</f>
        <v/>
      </c>
    </row>
    <row r="5185">
      <c r="F5185">
        <f>F5184+1</f>
        <v/>
      </c>
      <c r="G5185" s="92">
        <f>EXP($C$12+$C$8*_xlfn.NORM.S.INV(RAND()))</f>
        <v/>
      </c>
    </row>
    <row r="5186">
      <c r="F5186">
        <f>F5185+1</f>
        <v/>
      </c>
      <c r="G5186" s="92">
        <f>EXP($C$12+$C$8*_xlfn.NORM.S.INV(RAND()))</f>
        <v/>
      </c>
    </row>
    <row r="5187">
      <c r="F5187">
        <f>F5186+1</f>
        <v/>
      </c>
      <c r="G5187" s="92">
        <f>EXP($C$12+$C$8*_xlfn.NORM.S.INV(RAND()))</f>
        <v/>
      </c>
    </row>
    <row r="5188">
      <c r="F5188">
        <f>F5187+1</f>
        <v/>
      </c>
      <c r="G5188" s="92">
        <f>EXP($C$12+$C$8*_xlfn.NORM.S.INV(RAND()))</f>
        <v/>
      </c>
    </row>
    <row r="5189">
      <c r="F5189">
        <f>F5188+1</f>
        <v/>
      </c>
      <c r="G5189" s="92">
        <f>EXP($C$12+$C$8*_xlfn.NORM.S.INV(RAND()))</f>
        <v/>
      </c>
    </row>
    <row r="5190">
      <c r="F5190">
        <f>F5189+1</f>
        <v/>
      </c>
      <c r="G5190" s="92">
        <f>EXP($C$12+$C$8*_xlfn.NORM.S.INV(RAND()))</f>
        <v/>
      </c>
    </row>
    <row r="5191">
      <c r="F5191">
        <f>F5190+1</f>
        <v/>
      </c>
      <c r="G5191" s="92">
        <f>EXP($C$12+$C$8*_xlfn.NORM.S.INV(RAND()))</f>
        <v/>
      </c>
    </row>
    <row r="5192">
      <c r="F5192">
        <f>F5191+1</f>
        <v/>
      </c>
      <c r="G5192" s="92">
        <f>EXP($C$12+$C$8*_xlfn.NORM.S.INV(RAND()))</f>
        <v/>
      </c>
    </row>
    <row r="5193">
      <c r="F5193">
        <f>F5192+1</f>
        <v/>
      </c>
      <c r="G5193" s="92">
        <f>EXP($C$12+$C$8*_xlfn.NORM.S.INV(RAND()))</f>
        <v/>
      </c>
    </row>
    <row r="5194">
      <c r="F5194">
        <f>F5193+1</f>
        <v/>
      </c>
      <c r="G5194" s="92">
        <f>EXP($C$12+$C$8*_xlfn.NORM.S.INV(RAND()))</f>
        <v/>
      </c>
    </row>
    <row r="5195">
      <c r="F5195">
        <f>F5194+1</f>
        <v/>
      </c>
      <c r="G5195" s="92">
        <f>EXP($C$12+$C$8*_xlfn.NORM.S.INV(RAND()))</f>
        <v/>
      </c>
    </row>
    <row r="5196">
      <c r="F5196">
        <f>F5195+1</f>
        <v/>
      </c>
      <c r="G5196" s="92">
        <f>EXP($C$12+$C$8*_xlfn.NORM.S.INV(RAND()))</f>
        <v/>
      </c>
    </row>
    <row r="5197">
      <c r="F5197">
        <f>F5196+1</f>
        <v/>
      </c>
      <c r="G5197" s="92">
        <f>EXP($C$12+$C$8*_xlfn.NORM.S.INV(RAND()))</f>
        <v/>
      </c>
    </row>
    <row r="5198">
      <c r="F5198">
        <f>F5197+1</f>
        <v/>
      </c>
      <c r="G5198" s="92">
        <f>EXP($C$12+$C$8*_xlfn.NORM.S.INV(RAND()))</f>
        <v/>
      </c>
    </row>
    <row r="5199">
      <c r="F5199">
        <f>F5198+1</f>
        <v/>
      </c>
      <c r="G5199" s="92">
        <f>EXP($C$12+$C$8*_xlfn.NORM.S.INV(RAND()))</f>
        <v/>
      </c>
    </row>
    <row r="5200">
      <c r="F5200">
        <f>F5199+1</f>
        <v/>
      </c>
      <c r="G5200" s="92">
        <f>EXP($C$12+$C$8*_xlfn.NORM.S.INV(RAND()))</f>
        <v/>
      </c>
    </row>
    <row r="5201">
      <c r="F5201">
        <f>F5200+1</f>
        <v/>
      </c>
      <c r="G5201" s="92">
        <f>EXP($C$12+$C$8*_xlfn.NORM.S.INV(RAND()))</f>
        <v/>
      </c>
    </row>
    <row r="5202">
      <c r="F5202">
        <f>F5201+1</f>
        <v/>
      </c>
      <c r="G5202" s="92">
        <f>EXP($C$12+$C$8*_xlfn.NORM.S.INV(RAND()))</f>
        <v/>
      </c>
    </row>
    <row r="5203">
      <c r="F5203">
        <f>F5202+1</f>
        <v/>
      </c>
      <c r="G5203" s="92">
        <f>EXP($C$12+$C$8*_xlfn.NORM.S.INV(RAND()))</f>
        <v/>
      </c>
    </row>
    <row r="5204">
      <c r="F5204">
        <f>F5203+1</f>
        <v/>
      </c>
      <c r="G5204" s="92">
        <f>EXP($C$12+$C$8*_xlfn.NORM.S.INV(RAND()))</f>
        <v/>
      </c>
    </row>
    <row r="5205">
      <c r="F5205">
        <f>F5204+1</f>
        <v/>
      </c>
      <c r="G5205" s="92">
        <f>EXP($C$12+$C$8*_xlfn.NORM.S.INV(RAND()))</f>
        <v/>
      </c>
    </row>
    <row r="5206">
      <c r="F5206">
        <f>F5205+1</f>
        <v/>
      </c>
      <c r="G5206" s="92">
        <f>EXP($C$12+$C$8*_xlfn.NORM.S.INV(RAND()))</f>
        <v/>
      </c>
    </row>
    <row r="5207">
      <c r="F5207">
        <f>F5206+1</f>
        <v/>
      </c>
      <c r="G5207" s="92">
        <f>EXP($C$12+$C$8*_xlfn.NORM.S.INV(RAND()))</f>
        <v/>
      </c>
    </row>
    <row r="5208">
      <c r="F5208">
        <f>F5207+1</f>
        <v/>
      </c>
      <c r="G5208" s="92">
        <f>EXP($C$12+$C$8*_xlfn.NORM.S.INV(RAND()))</f>
        <v/>
      </c>
    </row>
    <row r="5209">
      <c r="F5209">
        <f>F5208+1</f>
        <v/>
      </c>
      <c r="G5209" s="92">
        <f>EXP($C$12+$C$8*_xlfn.NORM.S.INV(RAND()))</f>
        <v/>
      </c>
    </row>
    <row r="5210">
      <c r="F5210">
        <f>F5209+1</f>
        <v/>
      </c>
      <c r="G5210" s="92">
        <f>EXP($C$12+$C$8*_xlfn.NORM.S.INV(RAND()))</f>
        <v/>
      </c>
    </row>
    <row r="5211">
      <c r="F5211">
        <f>F5210+1</f>
        <v/>
      </c>
      <c r="G5211" s="92">
        <f>EXP($C$12+$C$8*_xlfn.NORM.S.INV(RAND()))</f>
        <v/>
      </c>
    </row>
    <row r="5212">
      <c r="F5212">
        <f>F5211+1</f>
        <v/>
      </c>
      <c r="G5212" s="92">
        <f>EXP($C$12+$C$8*_xlfn.NORM.S.INV(RAND()))</f>
        <v/>
      </c>
    </row>
    <row r="5213">
      <c r="F5213">
        <f>F5212+1</f>
        <v/>
      </c>
      <c r="G5213" s="92">
        <f>EXP($C$12+$C$8*_xlfn.NORM.S.INV(RAND()))</f>
        <v/>
      </c>
    </row>
    <row r="5214">
      <c r="F5214">
        <f>F5213+1</f>
        <v/>
      </c>
      <c r="G5214" s="92">
        <f>EXP($C$12+$C$8*_xlfn.NORM.S.INV(RAND()))</f>
        <v/>
      </c>
    </row>
    <row r="5215">
      <c r="F5215">
        <f>F5214+1</f>
        <v/>
      </c>
      <c r="G5215" s="92">
        <f>EXP($C$12+$C$8*_xlfn.NORM.S.INV(RAND()))</f>
        <v/>
      </c>
    </row>
    <row r="5216">
      <c r="F5216">
        <f>F5215+1</f>
        <v/>
      </c>
      <c r="G5216" s="92">
        <f>EXP($C$12+$C$8*_xlfn.NORM.S.INV(RAND()))</f>
        <v/>
      </c>
    </row>
    <row r="5217">
      <c r="F5217">
        <f>F5216+1</f>
        <v/>
      </c>
      <c r="G5217" s="92">
        <f>EXP($C$12+$C$8*_xlfn.NORM.S.INV(RAND()))</f>
        <v/>
      </c>
    </row>
    <row r="5218">
      <c r="F5218">
        <f>F5217+1</f>
        <v/>
      </c>
      <c r="G5218" s="92">
        <f>EXP($C$12+$C$8*_xlfn.NORM.S.INV(RAND()))</f>
        <v/>
      </c>
    </row>
    <row r="5219">
      <c r="F5219">
        <f>F5218+1</f>
        <v/>
      </c>
      <c r="G5219" s="92">
        <f>EXP($C$12+$C$8*_xlfn.NORM.S.INV(RAND()))</f>
        <v/>
      </c>
    </row>
    <row r="5220">
      <c r="F5220">
        <f>F5219+1</f>
        <v/>
      </c>
      <c r="G5220" s="92">
        <f>EXP($C$12+$C$8*_xlfn.NORM.S.INV(RAND()))</f>
        <v/>
      </c>
    </row>
    <row r="5221">
      <c r="F5221">
        <f>F5220+1</f>
        <v/>
      </c>
      <c r="G5221" s="92">
        <f>EXP($C$12+$C$8*_xlfn.NORM.S.INV(RAND()))</f>
        <v/>
      </c>
    </row>
    <row r="5222">
      <c r="F5222">
        <f>F5221+1</f>
        <v/>
      </c>
      <c r="G5222" s="92">
        <f>EXP($C$12+$C$8*_xlfn.NORM.S.INV(RAND()))</f>
        <v/>
      </c>
    </row>
    <row r="5223">
      <c r="F5223">
        <f>F5222+1</f>
        <v/>
      </c>
      <c r="G5223" s="92">
        <f>EXP($C$12+$C$8*_xlfn.NORM.S.INV(RAND()))</f>
        <v/>
      </c>
    </row>
    <row r="5224">
      <c r="F5224">
        <f>F5223+1</f>
        <v/>
      </c>
      <c r="G5224" s="92">
        <f>EXP($C$12+$C$8*_xlfn.NORM.S.INV(RAND()))</f>
        <v/>
      </c>
    </row>
    <row r="5225">
      <c r="F5225">
        <f>F5224+1</f>
        <v/>
      </c>
      <c r="G5225" s="92">
        <f>EXP($C$12+$C$8*_xlfn.NORM.S.INV(RAND()))</f>
        <v/>
      </c>
    </row>
    <row r="5226">
      <c r="F5226">
        <f>F5225+1</f>
        <v/>
      </c>
      <c r="G5226" s="92">
        <f>EXP($C$12+$C$8*_xlfn.NORM.S.INV(RAND()))</f>
        <v/>
      </c>
    </row>
    <row r="5227">
      <c r="F5227">
        <f>F5226+1</f>
        <v/>
      </c>
      <c r="G5227" s="92">
        <f>EXP($C$12+$C$8*_xlfn.NORM.S.INV(RAND()))</f>
        <v/>
      </c>
    </row>
    <row r="5228">
      <c r="F5228">
        <f>F5227+1</f>
        <v/>
      </c>
      <c r="G5228" s="92">
        <f>EXP($C$12+$C$8*_xlfn.NORM.S.INV(RAND()))</f>
        <v/>
      </c>
    </row>
    <row r="5229">
      <c r="F5229">
        <f>F5228+1</f>
        <v/>
      </c>
      <c r="G5229" s="92">
        <f>EXP($C$12+$C$8*_xlfn.NORM.S.INV(RAND()))</f>
        <v/>
      </c>
    </row>
    <row r="5230">
      <c r="F5230">
        <f>F5229+1</f>
        <v/>
      </c>
      <c r="G5230" s="92">
        <f>EXP($C$12+$C$8*_xlfn.NORM.S.INV(RAND()))</f>
        <v/>
      </c>
    </row>
    <row r="5231">
      <c r="F5231">
        <f>F5230+1</f>
        <v/>
      </c>
      <c r="G5231" s="92">
        <f>EXP($C$12+$C$8*_xlfn.NORM.S.INV(RAND()))</f>
        <v/>
      </c>
    </row>
    <row r="5232">
      <c r="F5232">
        <f>F5231+1</f>
        <v/>
      </c>
      <c r="G5232" s="92">
        <f>EXP($C$12+$C$8*_xlfn.NORM.S.INV(RAND()))</f>
        <v/>
      </c>
    </row>
    <row r="5233">
      <c r="F5233">
        <f>F5232+1</f>
        <v/>
      </c>
      <c r="G5233" s="92">
        <f>EXP($C$12+$C$8*_xlfn.NORM.S.INV(RAND()))</f>
        <v/>
      </c>
    </row>
    <row r="5234">
      <c r="F5234">
        <f>F5233+1</f>
        <v/>
      </c>
      <c r="G5234" s="92">
        <f>EXP($C$12+$C$8*_xlfn.NORM.S.INV(RAND()))</f>
        <v/>
      </c>
    </row>
    <row r="5235">
      <c r="F5235">
        <f>F5234+1</f>
        <v/>
      </c>
      <c r="G5235" s="92">
        <f>EXP($C$12+$C$8*_xlfn.NORM.S.INV(RAND()))</f>
        <v/>
      </c>
    </row>
    <row r="5236">
      <c r="F5236">
        <f>F5235+1</f>
        <v/>
      </c>
      <c r="G5236" s="92">
        <f>EXP($C$12+$C$8*_xlfn.NORM.S.INV(RAND()))</f>
        <v/>
      </c>
    </row>
    <row r="5237">
      <c r="F5237">
        <f>F5236+1</f>
        <v/>
      </c>
      <c r="G5237" s="92">
        <f>EXP($C$12+$C$8*_xlfn.NORM.S.INV(RAND()))</f>
        <v/>
      </c>
    </row>
    <row r="5238">
      <c r="F5238">
        <f>F5237+1</f>
        <v/>
      </c>
      <c r="G5238" s="92">
        <f>EXP($C$12+$C$8*_xlfn.NORM.S.INV(RAND()))</f>
        <v/>
      </c>
    </row>
    <row r="5239">
      <c r="F5239">
        <f>F5238+1</f>
        <v/>
      </c>
      <c r="G5239" s="92">
        <f>EXP($C$12+$C$8*_xlfn.NORM.S.INV(RAND()))</f>
        <v/>
      </c>
    </row>
    <row r="5240">
      <c r="F5240">
        <f>F5239+1</f>
        <v/>
      </c>
      <c r="G5240" s="92">
        <f>EXP($C$12+$C$8*_xlfn.NORM.S.INV(RAND()))</f>
        <v/>
      </c>
    </row>
    <row r="5241">
      <c r="F5241">
        <f>F5240+1</f>
        <v/>
      </c>
      <c r="G5241" s="92">
        <f>EXP($C$12+$C$8*_xlfn.NORM.S.INV(RAND()))</f>
        <v/>
      </c>
    </row>
    <row r="5242">
      <c r="F5242">
        <f>F5241+1</f>
        <v/>
      </c>
      <c r="G5242" s="92">
        <f>EXP($C$12+$C$8*_xlfn.NORM.S.INV(RAND()))</f>
        <v/>
      </c>
    </row>
    <row r="5243">
      <c r="F5243">
        <f>F5242+1</f>
        <v/>
      </c>
      <c r="G5243" s="92">
        <f>EXP($C$12+$C$8*_xlfn.NORM.S.INV(RAND()))</f>
        <v/>
      </c>
    </row>
    <row r="5244">
      <c r="F5244">
        <f>F5243+1</f>
        <v/>
      </c>
      <c r="G5244" s="92">
        <f>EXP($C$12+$C$8*_xlfn.NORM.S.INV(RAND()))</f>
        <v/>
      </c>
    </row>
    <row r="5245">
      <c r="F5245">
        <f>F5244+1</f>
        <v/>
      </c>
      <c r="G5245" s="92">
        <f>EXP($C$12+$C$8*_xlfn.NORM.S.INV(RAND()))</f>
        <v/>
      </c>
    </row>
    <row r="5246">
      <c r="F5246">
        <f>F5245+1</f>
        <v/>
      </c>
      <c r="G5246" s="92">
        <f>EXP($C$12+$C$8*_xlfn.NORM.S.INV(RAND()))</f>
        <v/>
      </c>
    </row>
    <row r="5247">
      <c r="F5247">
        <f>F5246+1</f>
        <v/>
      </c>
      <c r="G5247" s="92">
        <f>EXP($C$12+$C$8*_xlfn.NORM.S.INV(RAND()))</f>
        <v/>
      </c>
    </row>
    <row r="5248">
      <c r="F5248">
        <f>F5247+1</f>
        <v/>
      </c>
      <c r="G5248" s="92">
        <f>EXP($C$12+$C$8*_xlfn.NORM.S.INV(RAND()))</f>
        <v/>
      </c>
    </row>
    <row r="5249">
      <c r="F5249">
        <f>F5248+1</f>
        <v/>
      </c>
      <c r="G5249" s="92">
        <f>EXP($C$12+$C$8*_xlfn.NORM.S.INV(RAND()))</f>
        <v/>
      </c>
    </row>
    <row r="5250">
      <c r="F5250">
        <f>F5249+1</f>
        <v/>
      </c>
      <c r="G5250" s="92">
        <f>EXP($C$12+$C$8*_xlfn.NORM.S.INV(RAND()))</f>
        <v/>
      </c>
    </row>
    <row r="5251">
      <c r="F5251">
        <f>F5250+1</f>
        <v/>
      </c>
      <c r="G5251" s="92">
        <f>EXP($C$12+$C$8*_xlfn.NORM.S.INV(RAND()))</f>
        <v/>
      </c>
    </row>
    <row r="5252">
      <c r="F5252">
        <f>F5251+1</f>
        <v/>
      </c>
      <c r="G5252" s="92">
        <f>EXP($C$12+$C$8*_xlfn.NORM.S.INV(RAND()))</f>
        <v/>
      </c>
    </row>
    <row r="5253">
      <c r="F5253">
        <f>F5252+1</f>
        <v/>
      </c>
      <c r="G5253" s="92">
        <f>EXP($C$12+$C$8*_xlfn.NORM.S.INV(RAND()))</f>
        <v/>
      </c>
    </row>
    <row r="5254">
      <c r="F5254">
        <f>F5253+1</f>
        <v/>
      </c>
      <c r="G5254" s="92">
        <f>EXP($C$12+$C$8*_xlfn.NORM.S.INV(RAND()))</f>
        <v/>
      </c>
    </row>
    <row r="5255">
      <c r="F5255">
        <f>F5254+1</f>
        <v/>
      </c>
      <c r="G5255" s="92">
        <f>EXP($C$12+$C$8*_xlfn.NORM.S.INV(RAND()))</f>
        <v/>
      </c>
    </row>
    <row r="5256">
      <c r="F5256">
        <f>F5255+1</f>
        <v/>
      </c>
      <c r="G5256" s="92">
        <f>EXP($C$12+$C$8*_xlfn.NORM.S.INV(RAND()))</f>
        <v/>
      </c>
    </row>
    <row r="5257">
      <c r="F5257">
        <f>F5256+1</f>
        <v/>
      </c>
      <c r="G5257" s="92">
        <f>EXP($C$12+$C$8*_xlfn.NORM.S.INV(RAND()))</f>
        <v/>
      </c>
    </row>
    <row r="5258">
      <c r="F5258">
        <f>F5257+1</f>
        <v/>
      </c>
      <c r="G5258" s="92">
        <f>EXP($C$12+$C$8*_xlfn.NORM.S.INV(RAND()))</f>
        <v/>
      </c>
    </row>
    <row r="5259">
      <c r="F5259">
        <f>F5258+1</f>
        <v/>
      </c>
      <c r="G5259" s="92">
        <f>EXP($C$12+$C$8*_xlfn.NORM.S.INV(RAND()))</f>
        <v/>
      </c>
    </row>
    <row r="5260">
      <c r="F5260">
        <f>F5259+1</f>
        <v/>
      </c>
      <c r="G5260" s="92">
        <f>EXP($C$12+$C$8*_xlfn.NORM.S.INV(RAND()))</f>
        <v/>
      </c>
    </row>
    <row r="5261">
      <c r="F5261">
        <f>F5260+1</f>
        <v/>
      </c>
      <c r="G5261" s="92">
        <f>EXP($C$12+$C$8*_xlfn.NORM.S.INV(RAND()))</f>
        <v/>
      </c>
    </row>
    <row r="5262">
      <c r="F5262">
        <f>F5261+1</f>
        <v/>
      </c>
      <c r="G5262" s="92">
        <f>EXP($C$12+$C$8*_xlfn.NORM.S.INV(RAND()))</f>
        <v/>
      </c>
    </row>
    <row r="5263">
      <c r="F5263">
        <f>F5262+1</f>
        <v/>
      </c>
      <c r="G5263" s="92">
        <f>EXP($C$12+$C$8*_xlfn.NORM.S.INV(RAND()))</f>
        <v/>
      </c>
    </row>
    <row r="5264">
      <c r="F5264">
        <f>F5263+1</f>
        <v/>
      </c>
      <c r="G5264" s="92">
        <f>EXP($C$12+$C$8*_xlfn.NORM.S.INV(RAND()))</f>
        <v/>
      </c>
    </row>
    <row r="5265">
      <c r="F5265">
        <f>F5264+1</f>
        <v/>
      </c>
      <c r="G5265" s="92">
        <f>EXP($C$12+$C$8*_xlfn.NORM.S.INV(RAND()))</f>
        <v/>
      </c>
    </row>
    <row r="5266">
      <c r="F5266">
        <f>F5265+1</f>
        <v/>
      </c>
      <c r="G5266" s="92">
        <f>EXP($C$12+$C$8*_xlfn.NORM.S.INV(RAND()))</f>
        <v/>
      </c>
    </row>
    <row r="5267">
      <c r="F5267">
        <f>F5266+1</f>
        <v/>
      </c>
      <c r="G5267" s="92">
        <f>EXP($C$12+$C$8*_xlfn.NORM.S.INV(RAND()))</f>
        <v/>
      </c>
    </row>
    <row r="5268">
      <c r="F5268">
        <f>F5267+1</f>
        <v/>
      </c>
      <c r="G5268" s="92">
        <f>EXP($C$12+$C$8*_xlfn.NORM.S.INV(RAND()))</f>
        <v/>
      </c>
    </row>
    <row r="5269">
      <c r="F5269">
        <f>F5268+1</f>
        <v/>
      </c>
      <c r="G5269" s="92">
        <f>EXP($C$12+$C$8*_xlfn.NORM.S.INV(RAND()))</f>
        <v/>
      </c>
    </row>
    <row r="5270">
      <c r="F5270">
        <f>F5269+1</f>
        <v/>
      </c>
      <c r="G5270" s="92">
        <f>EXP($C$12+$C$8*_xlfn.NORM.S.INV(RAND()))</f>
        <v/>
      </c>
    </row>
    <row r="5271">
      <c r="F5271">
        <f>F5270+1</f>
        <v/>
      </c>
      <c r="G5271" s="92">
        <f>EXP($C$12+$C$8*_xlfn.NORM.S.INV(RAND()))</f>
        <v/>
      </c>
    </row>
    <row r="5272">
      <c r="F5272">
        <f>F5271+1</f>
        <v/>
      </c>
      <c r="G5272" s="92">
        <f>EXP($C$12+$C$8*_xlfn.NORM.S.INV(RAND()))</f>
        <v/>
      </c>
    </row>
    <row r="5273">
      <c r="F5273">
        <f>F5272+1</f>
        <v/>
      </c>
      <c r="G5273" s="92">
        <f>EXP($C$12+$C$8*_xlfn.NORM.S.INV(RAND()))</f>
        <v/>
      </c>
    </row>
    <row r="5274">
      <c r="F5274">
        <f>F5273+1</f>
        <v/>
      </c>
      <c r="G5274" s="92">
        <f>EXP($C$12+$C$8*_xlfn.NORM.S.INV(RAND()))</f>
        <v/>
      </c>
    </row>
    <row r="5275">
      <c r="F5275">
        <f>F5274+1</f>
        <v/>
      </c>
      <c r="G5275" s="92">
        <f>EXP($C$12+$C$8*_xlfn.NORM.S.INV(RAND()))</f>
        <v/>
      </c>
    </row>
    <row r="5276">
      <c r="F5276">
        <f>F5275+1</f>
        <v/>
      </c>
      <c r="G5276" s="92">
        <f>EXP($C$12+$C$8*_xlfn.NORM.S.INV(RAND()))</f>
        <v/>
      </c>
    </row>
    <row r="5277">
      <c r="F5277">
        <f>F5276+1</f>
        <v/>
      </c>
      <c r="G5277" s="92">
        <f>EXP($C$12+$C$8*_xlfn.NORM.S.INV(RAND()))</f>
        <v/>
      </c>
    </row>
    <row r="5278">
      <c r="F5278">
        <f>F5277+1</f>
        <v/>
      </c>
      <c r="G5278" s="92">
        <f>EXP($C$12+$C$8*_xlfn.NORM.S.INV(RAND()))</f>
        <v/>
      </c>
    </row>
    <row r="5279">
      <c r="F5279">
        <f>F5278+1</f>
        <v/>
      </c>
      <c r="G5279" s="92">
        <f>EXP($C$12+$C$8*_xlfn.NORM.S.INV(RAND()))</f>
        <v/>
      </c>
    </row>
    <row r="5280">
      <c r="F5280">
        <f>F5279+1</f>
        <v/>
      </c>
      <c r="G5280" s="92">
        <f>EXP($C$12+$C$8*_xlfn.NORM.S.INV(RAND()))</f>
        <v/>
      </c>
    </row>
    <row r="5281">
      <c r="F5281">
        <f>F5280+1</f>
        <v/>
      </c>
      <c r="G5281" s="92">
        <f>EXP($C$12+$C$8*_xlfn.NORM.S.INV(RAND()))</f>
        <v/>
      </c>
    </row>
    <row r="5282">
      <c r="F5282">
        <f>F5281+1</f>
        <v/>
      </c>
      <c r="G5282" s="92">
        <f>EXP($C$12+$C$8*_xlfn.NORM.S.INV(RAND()))</f>
        <v/>
      </c>
    </row>
    <row r="5283">
      <c r="F5283">
        <f>F5282+1</f>
        <v/>
      </c>
      <c r="G5283" s="92">
        <f>EXP($C$12+$C$8*_xlfn.NORM.S.INV(RAND()))</f>
        <v/>
      </c>
    </row>
    <row r="5284">
      <c r="F5284">
        <f>F5283+1</f>
        <v/>
      </c>
      <c r="G5284" s="92">
        <f>EXP($C$12+$C$8*_xlfn.NORM.S.INV(RAND()))</f>
        <v/>
      </c>
    </row>
    <row r="5285">
      <c r="F5285">
        <f>F5284+1</f>
        <v/>
      </c>
      <c r="G5285" s="92">
        <f>EXP($C$12+$C$8*_xlfn.NORM.S.INV(RAND()))</f>
        <v/>
      </c>
    </row>
    <row r="5286">
      <c r="F5286">
        <f>F5285+1</f>
        <v/>
      </c>
      <c r="G5286" s="92">
        <f>EXP($C$12+$C$8*_xlfn.NORM.S.INV(RAND()))</f>
        <v/>
      </c>
    </row>
    <row r="5287">
      <c r="F5287">
        <f>F5286+1</f>
        <v/>
      </c>
      <c r="G5287" s="92">
        <f>EXP($C$12+$C$8*_xlfn.NORM.S.INV(RAND()))</f>
        <v/>
      </c>
    </row>
    <row r="5288">
      <c r="F5288">
        <f>F5287+1</f>
        <v/>
      </c>
      <c r="G5288" s="92">
        <f>EXP($C$12+$C$8*_xlfn.NORM.S.INV(RAND()))</f>
        <v/>
      </c>
    </row>
    <row r="5289">
      <c r="F5289">
        <f>F5288+1</f>
        <v/>
      </c>
      <c r="G5289" s="92">
        <f>EXP($C$12+$C$8*_xlfn.NORM.S.INV(RAND()))</f>
        <v/>
      </c>
    </row>
    <row r="5290">
      <c r="F5290">
        <f>F5289+1</f>
        <v/>
      </c>
      <c r="G5290" s="92">
        <f>EXP($C$12+$C$8*_xlfn.NORM.S.INV(RAND()))</f>
        <v/>
      </c>
    </row>
    <row r="5291">
      <c r="F5291">
        <f>F5290+1</f>
        <v/>
      </c>
      <c r="G5291" s="92">
        <f>EXP($C$12+$C$8*_xlfn.NORM.S.INV(RAND()))</f>
        <v/>
      </c>
    </row>
    <row r="5292">
      <c r="F5292">
        <f>F5291+1</f>
        <v/>
      </c>
      <c r="G5292" s="92">
        <f>EXP($C$12+$C$8*_xlfn.NORM.S.INV(RAND()))</f>
        <v/>
      </c>
    </row>
    <row r="5293">
      <c r="F5293">
        <f>F5292+1</f>
        <v/>
      </c>
      <c r="G5293" s="92">
        <f>EXP($C$12+$C$8*_xlfn.NORM.S.INV(RAND()))</f>
        <v/>
      </c>
    </row>
    <row r="5294">
      <c r="F5294">
        <f>F5293+1</f>
        <v/>
      </c>
      <c r="G5294" s="92">
        <f>EXP($C$12+$C$8*_xlfn.NORM.S.INV(RAND()))</f>
        <v/>
      </c>
    </row>
    <row r="5295">
      <c r="F5295">
        <f>F5294+1</f>
        <v/>
      </c>
      <c r="G5295" s="92">
        <f>EXP($C$12+$C$8*_xlfn.NORM.S.INV(RAND()))</f>
        <v/>
      </c>
    </row>
    <row r="5296">
      <c r="F5296">
        <f>F5295+1</f>
        <v/>
      </c>
      <c r="G5296" s="92">
        <f>EXP($C$12+$C$8*_xlfn.NORM.S.INV(RAND()))</f>
        <v/>
      </c>
    </row>
    <row r="5297">
      <c r="F5297">
        <f>F5296+1</f>
        <v/>
      </c>
      <c r="G5297" s="92">
        <f>EXP($C$12+$C$8*_xlfn.NORM.S.INV(RAND()))</f>
        <v/>
      </c>
    </row>
    <row r="5298">
      <c r="F5298">
        <f>F5297+1</f>
        <v/>
      </c>
      <c r="G5298" s="92">
        <f>EXP($C$12+$C$8*_xlfn.NORM.S.INV(RAND()))</f>
        <v/>
      </c>
    </row>
    <row r="5299">
      <c r="F5299">
        <f>F5298+1</f>
        <v/>
      </c>
      <c r="G5299" s="92">
        <f>EXP($C$12+$C$8*_xlfn.NORM.S.INV(RAND()))</f>
        <v/>
      </c>
    </row>
    <row r="5300">
      <c r="F5300">
        <f>F5299+1</f>
        <v/>
      </c>
      <c r="G5300" s="92">
        <f>EXP($C$12+$C$8*_xlfn.NORM.S.INV(RAND()))</f>
        <v/>
      </c>
    </row>
    <row r="5301">
      <c r="F5301">
        <f>F5300+1</f>
        <v/>
      </c>
      <c r="G5301" s="92">
        <f>EXP($C$12+$C$8*_xlfn.NORM.S.INV(RAND()))</f>
        <v/>
      </c>
    </row>
    <row r="5302">
      <c r="F5302">
        <f>F5301+1</f>
        <v/>
      </c>
      <c r="G5302" s="92">
        <f>EXP($C$12+$C$8*_xlfn.NORM.S.INV(RAND()))</f>
        <v/>
      </c>
    </row>
    <row r="5303">
      <c r="F5303">
        <f>F5302+1</f>
        <v/>
      </c>
      <c r="G5303" s="92">
        <f>EXP($C$12+$C$8*_xlfn.NORM.S.INV(RAND()))</f>
        <v/>
      </c>
    </row>
    <row r="5304">
      <c r="F5304">
        <f>F5303+1</f>
        <v/>
      </c>
      <c r="G5304" s="92">
        <f>EXP($C$12+$C$8*_xlfn.NORM.S.INV(RAND()))</f>
        <v/>
      </c>
    </row>
    <row r="5305">
      <c r="F5305">
        <f>F5304+1</f>
        <v/>
      </c>
      <c r="G5305" s="92">
        <f>EXP($C$12+$C$8*_xlfn.NORM.S.INV(RAND()))</f>
        <v/>
      </c>
    </row>
    <row r="5306">
      <c r="F5306">
        <f>F5305+1</f>
        <v/>
      </c>
      <c r="G5306" s="92">
        <f>EXP($C$12+$C$8*_xlfn.NORM.S.INV(RAND()))</f>
        <v/>
      </c>
    </row>
    <row r="5307">
      <c r="F5307">
        <f>F5306+1</f>
        <v/>
      </c>
      <c r="G5307" s="92">
        <f>EXP($C$12+$C$8*_xlfn.NORM.S.INV(RAND()))</f>
        <v/>
      </c>
    </row>
    <row r="5308">
      <c r="F5308">
        <f>F5307+1</f>
        <v/>
      </c>
      <c r="G5308" s="92">
        <f>EXP($C$12+$C$8*_xlfn.NORM.S.INV(RAND()))</f>
        <v/>
      </c>
    </row>
    <row r="5309">
      <c r="F5309">
        <f>F5308+1</f>
        <v/>
      </c>
      <c r="G5309" s="92">
        <f>EXP($C$12+$C$8*_xlfn.NORM.S.INV(RAND()))</f>
        <v/>
      </c>
    </row>
    <row r="5310">
      <c r="F5310">
        <f>F5309+1</f>
        <v/>
      </c>
      <c r="G5310" s="92">
        <f>EXP($C$12+$C$8*_xlfn.NORM.S.INV(RAND()))</f>
        <v/>
      </c>
    </row>
    <row r="5311">
      <c r="F5311">
        <f>F5310+1</f>
        <v/>
      </c>
      <c r="G5311" s="92">
        <f>EXP($C$12+$C$8*_xlfn.NORM.S.INV(RAND()))</f>
        <v/>
      </c>
    </row>
    <row r="5312">
      <c r="F5312">
        <f>F5311+1</f>
        <v/>
      </c>
      <c r="G5312" s="92">
        <f>EXP($C$12+$C$8*_xlfn.NORM.S.INV(RAND()))</f>
        <v/>
      </c>
    </row>
    <row r="5313">
      <c r="F5313">
        <f>F5312+1</f>
        <v/>
      </c>
      <c r="G5313" s="92">
        <f>EXP($C$12+$C$8*_xlfn.NORM.S.INV(RAND()))</f>
        <v/>
      </c>
    </row>
    <row r="5314">
      <c r="F5314">
        <f>F5313+1</f>
        <v/>
      </c>
      <c r="G5314" s="92">
        <f>EXP($C$12+$C$8*_xlfn.NORM.S.INV(RAND()))</f>
        <v/>
      </c>
    </row>
    <row r="5315">
      <c r="F5315">
        <f>F5314+1</f>
        <v/>
      </c>
      <c r="G5315" s="92">
        <f>EXP($C$12+$C$8*_xlfn.NORM.S.INV(RAND()))</f>
        <v/>
      </c>
    </row>
    <row r="5316">
      <c r="F5316">
        <f>F5315+1</f>
        <v/>
      </c>
      <c r="G5316" s="92">
        <f>EXP($C$12+$C$8*_xlfn.NORM.S.INV(RAND()))</f>
        <v/>
      </c>
    </row>
    <row r="5317">
      <c r="F5317">
        <f>F5316+1</f>
        <v/>
      </c>
      <c r="G5317" s="92">
        <f>EXP($C$12+$C$8*_xlfn.NORM.S.INV(RAND()))</f>
        <v/>
      </c>
    </row>
    <row r="5318">
      <c r="F5318">
        <f>F5317+1</f>
        <v/>
      </c>
      <c r="G5318" s="92">
        <f>EXP($C$12+$C$8*_xlfn.NORM.S.INV(RAND()))</f>
        <v/>
      </c>
    </row>
    <row r="5319">
      <c r="F5319">
        <f>F5318+1</f>
        <v/>
      </c>
      <c r="G5319" s="92">
        <f>EXP($C$12+$C$8*_xlfn.NORM.S.INV(RAND()))</f>
        <v/>
      </c>
    </row>
    <row r="5320">
      <c r="F5320">
        <f>F5319+1</f>
        <v/>
      </c>
      <c r="G5320" s="92">
        <f>EXP($C$12+$C$8*_xlfn.NORM.S.INV(RAND()))</f>
        <v/>
      </c>
    </row>
    <row r="5321">
      <c r="F5321">
        <f>F5320+1</f>
        <v/>
      </c>
      <c r="G5321" s="92">
        <f>EXP($C$12+$C$8*_xlfn.NORM.S.INV(RAND()))</f>
        <v/>
      </c>
    </row>
    <row r="5322">
      <c r="F5322">
        <f>F5321+1</f>
        <v/>
      </c>
      <c r="G5322" s="92">
        <f>EXP($C$12+$C$8*_xlfn.NORM.S.INV(RAND()))</f>
        <v/>
      </c>
    </row>
    <row r="5323">
      <c r="F5323">
        <f>F5322+1</f>
        <v/>
      </c>
      <c r="G5323" s="92">
        <f>EXP($C$12+$C$8*_xlfn.NORM.S.INV(RAND()))</f>
        <v/>
      </c>
    </row>
    <row r="5324">
      <c r="F5324">
        <f>F5323+1</f>
        <v/>
      </c>
      <c r="G5324" s="92">
        <f>EXP($C$12+$C$8*_xlfn.NORM.S.INV(RAND()))</f>
        <v/>
      </c>
    </row>
    <row r="5325">
      <c r="F5325">
        <f>F5324+1</f>
        <v/>
      </c>
      <c r="G5325" s="92">
        <f>EXP($C$12+$C$8*_xlfn.NORM.S.INV(RAND()))</f>
        <v/>
      </c>
    </row>
    <row r="5326">
      <c r="F5326">
        <f>F5325+1</f>
        <v/>
      </c>
      <c r="G5326" s="92">
        <f>EXP($C$12+$C$8*_xlfn.NORM.S.INV(RAND()))</f>
        <v/>
      </c>
    </row>
    <row r="5327">
      <c r="F5327">
        <f>F5326+1</f>
        <v/>
      </c>
      <c r="G5327" s="92">
        <f>EXP($C$12+$C$8*_xlfn.NORM.S.INV(RAND()))</f>
        <v/>
      </c>
    </row>
    <row r="5328">
      <c r="F5328">
        <f>F5327+1</f>
        <v/>
      </c>
      <c r="G5328" s="92">
        <f>EXP($C$12+$C$8*_xlfn.NORM.S.INV(RAND()))</f>
        <v/>
      </c>
    </row>
    <row r="5329">
      <c r="F5329">
        <f>F5328+1</f>
        <v/>
      </c>
      <c r="G5329" s="92">
        <f>EXP($C$12+$C$8*_xlfn.NORM.S.INV(RAND()))</f>
        <v/>
      </c>
    </row>
    <row r="5330">
      <c r="F5330">
        <f>F5329+1</f>
        <v/>
      </c>
      <c r="G5330" s="92">
        <f>EXP($C$12+$C$8*_xlfn.NORM.S.INV(RAND()))</f>
        <v/>
      </c>
    </row>
    <row r="5331">
      <c r="F5331">
        <f>F5330+1</f>
        <v/>
      </c>
      <c r="G5331" s="92">
        <f>EXP($C$12+$C$8*_xlfn.NORM.S.INV(RAND()))</f>
        <v/>
      </c>
    </row>
    <row r="5332">
      <c r="F5332">
        <f>F5331+1</f>
        <v/>
      </c>
      <c r="G5332" s="92">
        <f>EXP($C$12+$C$8*_xlfn.NORM.S.INV(RAND()))</f>
        <v/>
      </c>
    </row>
    <row r="5333">
      <c r="F5333">
        <f>F5332+1</f>
        <v/>
      </c>
      <c r="G5333" s="92">
        <f>EXP($C$12+$C$8*_xlfn.NORM.S.INV(RAND()))</f>
        <v/>
      </c>
    </row>
    <row r="5334">
      <c r="F5334">
        <f>F5333+1</f>
        <v/>
      </c>
      <c r="G5334" s="92">
        <f>EXP($C$12+$C$8*_xlfn.NORM.S.INV(RAND()))</f>
        <v/>
      </c>
    </row>
    <row r="5335">
      <c r="F5335">
        <f>F5334+1</f>
        <v/>
      </c>
      <c r="G5335" s="92">
        <f>EXP($C$12+$C$8*_xlfn.NORM.S.INV(RAND()))</f>
        <v/>
      </c>
    </row>
    <row r="5336">
      <c r="F5336">
        <f>F5335+1</f>
        <v/>
      </c>
      <c r="G5336" s="92">
        <f>EXP($C$12+$C$8*_xlfn.NORM.S.INV(RAND()))</f>
        <v/>
      </c>
    </row>
    <row r="5337">
      <c r="F5337">
        <f>F5336+1</f>
        <v/>
      </c>
      <c r="G5337" s="92">
        <f>EXP($C$12+$C$8*_xlfn.NORM.S.INV(RAND()))</f>
        <v/>
      </c>
    </row>
    <row r="5338">
      <c r="F5338">
        <f>F5337+1</f>
        <v/>
      </c>
      <c r="G5338" s="92">
        <f>EXP($C$12+$C$8*_xlfn.NORM.S.INV(RAND()))</f>
        <v/>
      </c>
    </row>
    <row r="5339">
      <c r="F5339">
        <f>F5338+1</f>
        <v/>
      </c>
      <c r="G5339" s="92">
        <f>EXP($C$12+$C$8*_xlfn.NORM.S.INV(RAND()))</f>
        <v/>
      </c>
    </row>
    <row r="5340">
      <c r="F5340">
        <f>F5339+1</f>
        <v/>
      </c>
      <c r="G5340" s="92">
        <f>EXP($C$12+$C$8*_xlfn.NORM.S.INV(RAND()))</f>
        <v/>
      </c>
    </row>
    <row r="5341">
      <c r="F5341">
        <f>F5340+1</f>
        <v/>
      </c>
      <c r="G5341" s="92">
        <f>EXP($C$12+$C$8*_xlfn.NORM.S.INV(RAND()))</f>
        <v/>
      </c>
    </row>
    <row r="5342">
      <c r="F5342">
        <f>F5341+1</f>
        <v/>
      </c>
      <c r="G5342" s="92">
        <f>EXP($C$12+$C$8*_xlfn.NORM.S.INV(RAND()))</f>
        <v/>
      </c>
    </row>
    <row r="5343">
      <c r="F5343">
        <f>F5342+1</f>
        <v/>
      </c>
      <c r="G5343" s="92">
        <f>EXP($C$12+$C$8*_xlfn.NORM.S.INV(RAND()))</f>
        <v/>
      </c>
    </row>
    <row r="5344">
      <c r="F5344">
        <f>F5343+1</f>
        <v/>
      </c>
      <c r="G5344" s="92">
        <f>EXP($C$12+$C$8*_xlfn.NORM.S.INV(RAND()))</f>
        <v/>
      </c>
    </row>
    <row r="5345">
      <c r="F5345">
        <f>F5344+1</f>
        <v/>
      </c>
      <c r="G5345" s="92">
        <f>EXP($C$12+$C$8*_xlfn.NORM.S.INV(RAND()))</f>
        <v/>
      </c>
    </row>
    <row r="5346">
      <c r="F5346">
        <f>F5345+1</f>
        <v/>
      </c>
      <c r="G5346" s="92">
        <f>EXP($C$12+$C$8*_xlfn.NORM.S.INV(RAND()))</f>
        <v/>
      </c>
    </row>
    <row r="5347">
      <c r="F5347">
        <f>F5346+1</f>
        <v/>
      </c>
      <c r="G5347" s="92">
        <f>EXP($C$12+$C$8*_xlfn.NORM.S.INV(RAND()))</f>
        <v/>
      </c>
    </row>
    <row r="5348">
      <c r="F5348">
        <f>F5347+1</f>
        <v/>
      </c>
      <c r="G5348" s="92">
        <f>EXP($C$12+$C$8*_xlfn.NORM.S.INV(RAND()))</f>
        <v/>
      </c>
    </row>
    <row r="5349">
      <c r="F5349">
        <f>F5348+1</f>
        <v/>
      </c>
      <c r="G5349" s="92">
        <f>EXP($C$12+$C$8*_xlfn.NORM.S.INV(RAND()))</f>
        <v/>
      </c>
    </row>
    <row r="5350">
      <c r="F5350">
        <f>F5349+1</f>
        <v/>
      </c>
      <c r="G5350" s="92">
        <f>EXP($C$12+$C$8*_xlfn.NORM.S.INV(RAND()))</f>
        <v/>
      </c>
    </row>
    <row r="5351">
      <c r="F5351">
        <f>F5350+1</f>
        <v/>
      </c>
      <c r="G5351" s="92">
        <f>EXP($C$12+$C$8*_xlfn.NORM.S.INV(RAND()))</f>
        <v/>
      </c>
    </row>
    <row r="5352">
      <c r="F5352">
        <f>F5351+1</f>
        <v/>
      </c>
      <c r="G5352" s="92">
        <f>EXP($C$12+$C$8*_xlfn.NORM.S.INV(RAND()))</f>
        <v/>
      </c>
    </row>
    <row r="5353">
      <c r="F5353">
        <f>F5352+1</f>
        <v/>
      </c>
      <c r="G5353" s="92">
        <f>EXP($C$12+$C$8*_xlfn.NORM.S.INV(RAND()))</f>
        <v/>
      </c>
    </row>
    <row r="5354">
      <c r="F5354">
        <f>F5353+1</f>
        <v/>
      </c>
      <c r="G5354" s="92">
        <f>EXP($C$12+$C$8*_xlfn.NORM.S.INV(RAND()))</f>
        <v/>
      </c>
    </row>
    <row r="5355">
      <c r="F5355">
        <f>F5354+1</f>
        <v/>
      </c>
      <c r="G5355" s="92">
        <f>EXP($C$12+$C$8*_xlfn.NORM.S.INV(RAND()))</f>
        <v/>
      </c>
    </row>
    <row r="5356">
      <c r="F5356">
        <f>F5355+1</f>
        <v/>
      </c>
      <c r="G5356" s="92">
        <f>EXP($C$12+$C$8*_xlfn.NORM.S.INV(RAND()))</f>
        <v/>
      </c>
    </row>
    <row r="5357">
      <c r="F5357">
        <f>F5356+1</f>
        <v/>
      </c>
      <c r="G5357" s="92">
        <f>EXP($C$12+$C$8*_xlfn.NORM.S.INV(RAND()))</f>
        <v/>
      </c>
    </row>
    <row r="5358">
      <c r="F5358">
        <f>F5357+1</f>
        <v/>
      </c>
      <c r="G5358" s="92">
        <f>EXP($C$12+$C$8*_xlfn.NORM.S.INV(RAND()))</f>
        <v/>
      </c>
    </row>
    <row r="5359">
      <c r="F5359">
        <f>F5358+1</f>
        <v/>
      </c>
      <c r="G5359" s="92">
        <f>EXP($C$12+$C$8*_xlfn.NORM.S.INV(RAND()))</f>
        <v/>
      </c>
    </row>
    <row r="5360">
      <c r="F5360">
        <f>F5359+1</f>
        <v/>
      </c>
      <c r="G5360" s="92">
        <f>EXP($C$12+$C$8*_xlfn.NORM.S.INV(RAND()))</f>
        <v/>
      </c>
    </row>
    <row r="5361">
      <c r="F5361">
        <f>F5360+1</f>
        <v/>
      </c>
      <c r="G5361" s="92">
        <f>EXP($C$12+$C$8*_xlfn.NORM.S.INV(RAND()))</f>
        <v/>
      </c>
    </row>
    <row r="5362">
      <c r="F5362">
        <f>F5361+1</f>
        <v/>
      </c>
      <c r="G5362" s="92">
        <f>EXP($C$12+$C$8*_xlfn.NORM.S.INV(RAND()))</f>
        <v/>
      </c>
    </row>
    <row r="5363">
      <c r="F5363">
        <f>F5362+1</f>
        <v/>
      </c>
      <c r="G5363" s="92">
        <f>EXP($C$12+$C$8*_xlfn.NORM.S.INV(RAND()))</f>
        <v/>
      </c>
    </row>
    <row r="5364">
      <c r="F5364">
        <f>F5363+1</f>
        <v/>
      </c>
      <c r="G5364" s="92">
        <f>EXP($C$12+$C$8*_xlfn.NORM.S.INV(RAND()))</f>
        <v/>
      </c>
    </row>
    <row r="5365">
      <c r="F5365">
        <f>F5364+1</f>
        <v/>
      </c>
      <c r="G5365" s="92">
        <f>EXP($C$12+$C$8*_xlfn.NORM.S.INV(RAND()))</f>
        <v/>
      </c>
    </row>
    <row r="5366">
      <c r="F5366">
        <f>F5365+1</f>
        <v/>
      </c>
      <c r="G5366" s="92">
        <f>EXP($C$12+$C$8*_xlfn.NORM.S.INV(RAND()))</f>
        <v/>
      </c>
    </row>
    <row r="5367">
      <c r="F5367">
        <f>F5366+1</f>
        <v/>
      </c>
      <c r="G5367" s="92">
        <f>EXP($C$12+$C$8*_xlfn.NORM.S.INV(RAND()))</f>
        <v/>
      </c>
    </row>
    <row r="5368">
      <c r="F5368">
        <f>F5367+1</f>
        <v/>
      </c>
      <c r="G5368" s="92">
        <f>EXP($C$12+$C$8*_xlfn.NORM.S.INV(RAND()))</f>
        <v/>
      </c>
    </row>
    <row r="5369">
      <c r="F5369">
        <f>F5368+1</f>
        <v/>
      </c>
      <c r="G5369" s="92">
        <f>EXP($C$12+$C$8*_xlfn.NORM.S.INV(RAND()))</f>
        <v/>
      </c>
    </row>
    <row r="5370">
      <c r="F5370">
        <f>F5369+1</f>
        <v/>
      </c>
      <c r="G5370" s="92">
        <f>EXP($C$12+$C$8*_xlfn.NORM.S.INV(RAND()))</f>
        <v/>
      </c>
    </row>
    <row r="5371">
      <c r="F5371">
        <f>F5370+1</f>
        <v/>
      </c>
      <c r="G5371" s="92">
        <f>EXP($C$12+$C$8*_xlfn.NORM.S.INV(RAND()))</f>
        <v/>
      </c>
    </row>
    <row r="5372">
      <c r="F5372">
        <f>F5371+1</f>
        <v/>
      </c>
      <c r="G5372" s="92">
        <f>EXP($C$12+$C$8*_xlfn.NORM.S.INV(RAND()))</f>
        <v/>
      </c>
    </row>
    <row r="5373">
      <c r="F5373">
        <f>F5372+1</f>
        <v/>
      </c>
      <c r="G5373" s="92">
        <f>EXP($C$12+$C$8*_xlfn.NORM.S.INV(RAND()))</f>
        <v/>
      </c>
    </row>
    <row r="5374">
      <c r="F5374">
        <f>F5373+1</f>
        <v/>
      </c>
      <c r="G5374" s="92">
        <f>EXP($C$12+$C$8*_xlfn.NORM.S.INV(RAND()))</f>
        <v/>
      </c>
    </row>
    <row r="5375">
      <c r="F5375">
        <f>F5374+1</f>
        <v/>
      </c>
      <c r="G5375" s="92">
        <f>EXP($C$12+$C$8*_xlfn.NORM.S.INV(RAND()))</f>
        <v/>
      </c>
    </row>
    <row r="5376">
      <c r="F5376">
        <f>F5375+1</f>
        <v/>
      </c>
      <c r="G5376" s="92">
        <f>EXP($C$12+$C$8*_xlfn.NORM.S.INV(RAND()))</f>
        <v/>
      </c>
    </row>
    <row r="5377">
      <c r="F5377">
        <f>F5376+1</f>
        <v/>
      </c>
      <c r="G5377" s="92">
        <f>EXP($C$12+$C$8*_xlfn.NORM.S.INV(RAND()))</f>
        <v/>
      </c>
    </row>
    <row r="5378">
      <c r="F5378">
        <f>F5377+1</f>
        <v/>
      </c>
      <c r="G5378" s="92">
        <f>EXP($C$12+$C$8*_xlfn.NORM.S.INV(RAND()))</f>
        <v/>
      </c>
    </row>
    <row r="5379">
      <c r="F5379">
        <f>F5378+1</f>
        <v/>
      </c>
      <c r="G5379" s="92">
        <f>EXP($C$12+$C$8*_xlfn.NORM.S.INV(RAND()))</f>
        <v/>
      </c>
    </row>
    <row r="5380">
      <c r="F5380">
        <f>F5379+1</f>
        <v/>
      </c>
      <c r="G5380" s="92">
        <f>EXP($C$12+$C$8*_xlfn.NORM.S.INV(RAND()))</f>
        <v/>
      </c>
    </row>
    <row r="5381">
      <c r="F5381">
        <f>F5380+1</f>
        <v/>
      </c>
      <c r="G5381" s="92">
        <f>EXP($C$12+$C$8*_xlfn.NORM.S.INV(RAND()))</f>
        <v/>
      </c>
    </row>
    <row r="5382">
      <c r="F5382">
        <f>F5381+1</f>
        <v/>
      </c>
      <c r="G5382" s="92">
        <f>EXP($C$12+$C$8*_xlfn.NORM.S.INV(RAND()))</f>
        <v/>
      </c>
    </row>
    <row r="5383">
      <c r="F5383">
        <f>F5382+1</f>
        <v/>
      </c>
      <c r="G5383" s="92">
        <f>EXP($C$12+$C$8*_xlfn.NORM.S.INV(RAND()))</f>
        <v/>
      </c>
    </row>
    <row r="5384">
      <c r="F5384">
        <f>F5383+1</f>
        <v/>
      </c>
      <c r="G5384" s="92">
        <f>EXP($C$12+$C$8*_xlfn.NORM.S.INV(RAND()))</f>
        <v/>
      </c>
    </row>
    <row r="5385">
      <c r="F5385">
        <f>F5384+1</f>
        <v/>
      </c>
      <c r="G5385" s="92">
        <f>EXP($C$12+$C$8*_xlfn.NORM.S.INV(RAND()))</f>
        <v/>
      </c>
    </row>
    <row r="5386">
      <c r="F5386">
        <f>F5385+1</f>
        <v/>
      </c>
      <c r="G5386" s="92">
        <f>EXP($C$12+$C$8*_xlfn.NORM.S.INV(RAND()))</f>
        <v/>
      </c>
    </row>
    <row r="5387">
      <c r="F5387">
        <f>F5386+1</f>
        <v/>
      </c>
      <c r="G5387" s="92">
        <f>EXP($C$12+$C$8*_xlfn.NORM.S.INV(RAND()))</f>
        <v/>
      </c>
    </row>
    <row r="5388">
      <c r="F5388">
        <f>F5387+1</f>
        <v/>
      </c>
      <c r="G5388" s="92">
        <f>EXP($C$12+$C$8*_xlfn.NORM.S.INV(RAND()))</f>
        <v/>
      </c>
    </row>
    <row r="5389">
      <c r="F5389">
        <f>F5388+1</f>
        <v/>
      </c>
      <c r="G5389" s="92">
        <f>EXP($C$12+$C$8*_xlfn.NORM.S.INV(RAND()))</f>
        <v/>
      </c>
    </row>
    <row r="5390">
      <c r="F5390">
        <f>F5389+1</f>
        <v/>
      </c>
      <c r="G5390" s="92">
        <f>EXP($C$12+$C$8*_xlfn.NORM.S.INV(RAND()))</f>
        <v/>
      </c>
    </row>
    <row r="5391">
      <c r="F5391">
        <f>F5390+1</f>
        <v/>
      </c>
      <c r="G5391" s="92">
        <f>EXP($C$12+$C$8*_xlfn.NORM.S.INV(RAND()))</f>
        <v/>
      </c>
    </row>
    <row r="5392">
      <c r="F5392">
        <f>F5391+1</f>
        <v/>
      </c>
      <c r="G5392" s="92">
        <f>EXP($C$12+$C$8*_xlfn.NORM.S.INV(RAND()))</f>
        <v/>
      </c>
    </row>
    <row r="5393">
      <c r="F5393">
        <f>F5392+1</f>
        <v/>
      </c>
      <c r="G5393" s="92">
        <f>EXP($C$12+$C$8*_xlfn.NORM.S.INV(RAND()))</f>
        <v/>
      </c>
    </row>
    <row r="5394">
      <c r="F5394">
        <f>F5393+1</f>
        <v/>
      </c>
      <c r="G5394" s="92">
        <f>EXP($C$12+$C$8*_xlfn.NORM.S.INV(RAND()))</f>
        <v/>
      </c>
    </row>
    <row r="5395">
      <c r="F5395">
        <f>F5394+1</f>
        <v/>
      </c>
      <c r="G5395" s="92">
        <f>EXP($C$12+$C$8*_xlfn.NORM.S.INV(RAND()))</f>
        <v/>
      </c>
    </row>
    <row r="5396">
      <c r="F5396">
        <f>F5395+1</f>
        <v/>
      </c>
      <c r="G5396" s="92">
        <f>EXP($C$12+$C$8*_xlfn.NORM.S.INV(RAND()))</f>
        <v/>
      </c>
    </row>
    <row r="5397">
      <c r="F5397">
        <f>F5396+1</f>
        <v/>
      </c>
      <c r="G5397" s="92">
        <f>EXP($C$12+$C$8*_xlfn.NORM.S.INV(RAND()))</f>
        <v/>
      </c>
    </row>
    <row r="5398">
      <c r="F5398">
        <f>F5397+1</f>
        <v/>
      </c>
      <c r="G5398" s="92">
        <f>EXP($C$12+$C$8*_xlfn.NORM.S.INV(RAND()))</f>
        <v/>
      </c>
    </row>
    <row r="5399">
      <c r="F5399">
        <f>F5398+1</f>
        <v/>
      </c>
      <c r="G5399" s="92">
        <f>EXP($C$12+$C$8*_xlfn.NORM.S.INV(RAND()))</f>
        <v/>
      </c>
    </row>
    <row r="5400">
      <c r="F5400">
        <f>F5399+1</f>
        <v/>
      </c>
      <c r="G5400" s="92">
        <f>EXP($C$12+$C$8*_xlfn.NORM.S.INV(RAND()))</f>
        <v/>
      </c>
    </row>
    <row r="5401">
      <c r="F5401">
        <f>F5400+1</f>
        <v/>
      </c>
      <c r="G5401" s="92">
        <f>EXP($C$12+$C$8*_xlfn.NORM.S.INV(RAND()))</f>
        <v/>
      </c>
    </row>
    <row r="5402">
      <c r="F5402">
        <f>F5401+1</f>
        <v/>
      </c>
      <c r="G5402" s="92">
        <f>EXP($C$12+$C$8*_xlfn.NORM.S.INV(RAND()))</f>
        <v/>
      </c>
    </row>
    <row r="5403">
      <c r="F5403">
        <f>F5402+1</f>
        <v/>
      </c>
      <c r="G5403" s="92">
        <f>EXP($C$12+$C$8*_xlfn.NORM.S.INV(RAND()))</f>
        <v/>
      </c>
    </row>
    <row r="5404">
      <c r="F5404">
        <f>F5403+1</f>
        <v/>
      </c>
      <c r="G5404" s="92">
        <f>EXP($C$12+$C$8*_xlfn.NORM.S.INV(RAND()))</f>
        <v/>
      </c>
    </row>
    <row r="5405">
      <c r="F5405">
        <f>F5404+1</f>
        <v/>
      </c>
      <c r="G5405" s="92">
        <f>EXP($C$12+$C$8*_xlfn.NORM.S.INV(RAND()))</f>
        <v/>
      </c>
    </row>
    <row r="5406">
      <c r="F5406">
        <f>F5405+1</f>
        <v/>
      </c>
      <c r="G5406" s="92">
        <f>EXP($C$12+$C$8*_xlfn.NORM.S.INV(RAND()))</f>
        <v/>
      </c>
    </row>
    <row r="5407">
      <c r="F5407">
        <f>F5406+1</f>
        <v/>
      </c>
      <c r="G5407" s="92">
        <f>EXP($C$12+$C$8*_xlfn.NORM.S.INV(RAND()))</f>
        <v/>
      </c>
    </row>
    <row r="5408">
      <c r="F5408">
        <f>F5407+1</f>
        <v/>
      </c>
      <c r="G5408" s="92">
        <f>EXP($C$12+$C$8*_xlfn.NORM.S.INV(RAND()))</f>
        <v/>
      </c>
    </row>
    <row r="5409">
      <c r="F5409">
        <f>F5408+1</f>
        <v/>
      </c>
      <c r="G5409" s="92">
        <f>EXP($C$12+$C$8*_xlfn.NORM.S.INV(RAND()))</f>
        <v/>
      </c>
    </row>
    <row r="5410">
      <c r="F5410">
        <f>F5409+1</f>
        <v/>
      </c>
      <c r="G5410" s="92">
        <f>EXP($C$12+$C$8*_xlfn.NORM.S.INV(RAND()))</f>
        <v/>
      </c>
    </row>
    <row r="5411">
      <c r="F5411">
        <f>F5410+1</f>
        <v/>
      </c>
      <c r="G5411" s="92">
        <f>EXP($C$12+$C$8*_xlfn.NORM.S.INV(RAND()))</f>
        <v/>
      </c>
    </row>
    <row r="5412">
      <c r="F5412">
        <f>F5411+1</f>
        <v/>
      </c>
      <c r="G5412" s="92">
        <f>EXP($C$12+$C$8*_xlfn.NORM.S.INV(RAND()))</f>
        <v/>
      </c>
    </row>
    <row r="5413">
      <c r="F5413">
        <f>F5412+1</f>
        <v/>
      </c>
      <c r="G5413" s="92">
        <f>EXP($C$12+$C$8*_xlfn.NORM.S.INV(RAND()))</f>
        <v/>
      </c>
    </row>
    <row r="5414">
      <c r="F5414">
        <f>F5413+1</f>
        <v/>
      </c>
      <c r="G5414" s="92">
        <f>EXP($C$12+$C$8*_xlfn.NORM.S.INV(RAND()))</f>
        <v/>
      </c>
    </row>
    <row r="5415">
      <c r="F5415">
        <f>F5414+1</f>
        <v/>
      </c>
      <c r="G5415" s="92">
        <f>EXP($C$12+$C$8*_xlfn.NORM.S.INV(RAND()))</f>
        <v/>
      </c>
    </row>
    <row r="5416">
      <c r="F5416">
        <f>F5415+1</f>
        <v/>
      </c>
      <c r="G5416" s="92">
        <f>EXP($C$12+$C$8*_xlfn.NORM.S.INV(RAND()))</f>
        <v/>
      </c>
    </row>
    <row r="5417">
      <c r="F5417">
        <f>F5416+1</f>
        <v/>
      </c>
      <c r="G5417" s="92">
        <f>EXP($C$12+$C$8*_xlfn.NORM.S.INV(RAND()))</f>
        <v/>
      </c>
    </row>
    <row r="5418">
      <c r="F5418">
        <f>F5417+1</f>
        <v/>
      </c>
      <c r="G5418" s="92">
        <f>EXP($C$12+$C$8*_xlfn.NORM.S.INV(RAND()))</f>
        <v/>
      </c>
    </row>
    <row r="5419">
      <c r="F5419">
        <f>F5418+1</f>
        <v/>
      </c>
      <c r="G5419" s="92">
        <f>EXP($C$12+$C$8*_xlfn.NORM.S.INV(RAND()))</f>
        <v/>
      </c>
    </row>
    <row r="5420">
      <c r="F5420">
        <f>F5419+1</f>
        <v/>
      </c>
      <c r="G5420" s="92">
        <f>EXP($C$12+$C$8*_xlfn.NORM.S.INV(RAND()))</f>
        <v/>
      </c>
    </row>
    <row r="5421">
      <c r="F5421">
        <f>F5420+1</f>
        <v/>
      </c>
      <c r="G5421" s="92">
        <f>EXP($C$12+$C$8*_xlfn.NORM.S.INV(RAND()))</f>
        <v/>
      </c>
    </row>
    <row r="5422">
      <c r="F5422">
        <f>F5421+1</f>
        <v/>
      </c>
      <c r="G5422" s="92">
        <f>EXP($C$12+$C$8*_xlfn.NORM.S.INV(RAND()))</f>
        <v/>
      </c>
    </row>
    <row r="5423">
      <c r="F5423">
        <f>F5422+1</f>
        <v/>
      </c>
      <c r="G5423" s="92">
        <f>EXP($C$12+$C$8*_xlfn.NORM.S.INV(RAND()))</f>
        <v/>
      </c>
    </row>
    <row r="5424">
      <c r="F5424">
        <f>F5423+1</f>
        <v/>
      </c>
      <c r="G5424" s="92">
        <f>EXP($C$12+$C$8*_xlfn.NORM.S.INV(RAND()))</f>
        <v/>
      </c>
    </row>
    <row r="5425">
      <c r="F5425">
        <f>F5424+1</f>
        <v/>
      </c>
      <c r="G5425" s="92">
        <f>EXP($C$12+$C$8*_xlfn.NORM.S.INV(RAND()))</f>
        <v/>
      </c>
    </row>
    <row r="5426">
      <c r="F5426">
        <f>F5425+1</f>
        <v/>
      </c>
      <c r="G5426" s="92">
        <f>EXP($C$12+$C$8*_xlfn.NORM.S.INV(RAND()))</f>
        <v/>
      </c>
    </row>
    <row r="5427">
      <c r="F5427">
        <f>F5426+1</f>
        <v/>
      </c>
      <c r="G5427" s="92">
        <f>EXP($C$12+$C$8*_xlfn.NORM.S.INV(RAND()))</f>
        <v/>
      </c>
    </row>
    <row r="5428">
      <c r="F5428">
        <f>F5427+1</f>
        <v/>
      </c>
      <c r="G5428" s="92">
        <f>EXP($C$12+$C$8*_xlfn.NORM.S.INV(RAND()))</f>
        <v/>
      </c>
    </row>
    <row r="5429">
      <c r="F5429">
        <f>F5428+1</f>
        <v/>
      </c>
      <c r="G5429" s="92">
        <f>EXP($C$12+$C$8*_xlfn.NORM.S.INV(RAND()))</f>
        <v/>
      </c>
    </row>
    <row r="5430">
      <c r="F5430">
        <f>F5429+1</f>
        <v/>
      </c>
      <c r="G5430" s="92">
        <f>EXP($C$12+$C$8*_xlfn.NORM.S.INV(RAND()))</f>
        <v/>
      </c>
    </row>
    <row r="5431">
      <c r="F5431">
        <f>F5430+1</f>
        <v/>
      </c>
      <c r="G5431" s="92">
        <f>EXP($C$12+$C$8*_xlfn.NORM.S.INV(RAND()))</f>
        <v/>
      </c>
    </row>
    <row r="5432">
      <c r="F5432">
        <f>F5431+1</f>
        <v/>
      </c>
      <c r="G5432" s="92">
        <f>EXP($C$12+$C$8*_xlfn.NORM.S.INV(RAND()))</f>
        <v/>
      </c>
    </row>
    <row r="5433">
      <c r="F5433">
        <f>F5432+1</f>
        <v/>
      </c>
      <c r="G5433" s="92">
        <f>EXP($C$12+$C$8*_xlfn.NORM.S.INV(RAND()))</f>
        <v/>
      </c>
    </row>
    <row r="5434">
      <c r="F5434">
        <f>F5433+1</f>
        <v/>
      </c>
      <c r="G5434" s="92">
        <f>EXP($C$12+$C$8*_xlfn.NORM.S.INV(RAND()))</f>
        <v/>
      </c>
    </row>
    <row r="5435">
      <c r="F5435">
        <f>F5434+1</f>
        <v/>
      </c>
      <c r="G5435" s="92">
        <f>EXP($C$12+$C$8*_xlfn.NORM.S.INV(RAND()))</f>
        <v/>
      </c>
    </row>
    <row r="5436">
      <c r="F5436">
        <f>F5435+1</f>
        <v/>
      </c>
      <c r="G5436" s="92">
        <f>EXP($C$12+$C$8*_xlfn.NORM.S.INV(RAND()))</f>
        <v/>
      </c>
    </row>
    <row r="5437">
      <c r="F5437">
        <f>F5436+1</f>
        <v/>
      </c>
      <c r="G5437" s="92">
        <f>EXP($C$12+$C$8*_xlfn.NORM.S.INV(RAND()))</f>
        <v/>
      </c>
    </row>
    <row r="5438">
      <c r="F5438">
        <f>F5437+1</f>
        <v/>
      </c>
      <c r="G5438" s="92">
        <f>EXP($C$12+$C$8*_xlfn.NORM.S.INV(RAND()))</f>
        <v/>
      </c>
    </row>
    <row r="5439">
      <c r="F5439">
        <f>F5438+1</f>
        <v/>
      </c>
      <c r="G5439" s="92">
        <f>EXP($C$12+$C$8*_xlfn.NORM.S.INV(RAND()))</f>
        <v/>
      </c>
    </row>
    <row r="5440">
      <c r="F5440">
        <f>F5439+1</f>
        <v/>
      </c>
      <c r="G5440" s="92">
        <f>EXP($C$12+$C$8*_xlfn.NORM.S.INV(RAND()))</f>
        <v/>
      </c>
    </row>
    <row r="5441">
      <c r="F5441">
        <f>F5440+1</f>
        <v/>
      </c>
      <c r="G5441" s="92">
        <f>EXP($C$12+$C$8*_xlfn.NORM.S.INV(RAND()))</f>
        <v/>
      </c>
    </row>
    <row r="5442">
      <c r="F5442">
        <f>F5441+1</f>
        <v/>
      </c>
      <c r="G5442" s="92">
        <f>EXP($C$12+$C$8*_xlfn.NORM.S.INV(RAND()))</f>
        <v/>
      </c>
    </row>
    <row r="5443">
      <c r="F5443">
        <f>F5442+1</f>
        <v/>
      </c>
      <c r="G5443" s="92">
        <f>EXP($C$12+$C$8*_xlfn.NORM.S.INV(RAND()))</f>
        <v/>
      </c>
    </row>
    <row r="5444">
      <c r="F5444">
        <f>F5443+1</f>
        <v/>
      </c>
      <c r="G5444" s="92">
        <f>EXP($C$12+$C$8*_xlfn.NORM.S.INV(RAND()))</f>
        <v/>
      </c>
    </row>
    <row r="5445">
      <c r="F5445">
        <f>F5444+1</f>
        <v/>
      </c>
      <c r="G5445" s="92">
        <f>EXP($C$12+$C$8*_xlfn.NORM.S.INV(RAND()))</f>
        <v/>
      </c>
    </row>
    <row r="5446">
      <c r="F5446">
        <f>F5445+1</f>
        <v/>
      </c>
      <c r="G5446" s="92">
        <f>EXP($C$12+$C$8*_xlfn.NORM.S.INV(RAND()))</f>
        <v/>
      </c>
    </row>
    <row r="5447">
      <c r="F5447">
        <f>F5446+1</f>
        <v/>
      </c>
      <c r="G5447" s="92">
        <f>EXP($C$12+$C$8*_xlfn.NORM.S.INV(RAND()))</f>
        <v/>
      </c>
    </row>
    <row r="5448">
      <c r="F5448">
        <f>F5447+1</f>
        <v/>
      </c>
      <c r="G5448" s="92">
        <f>EXP($C$12+$C$8*_xlfn.NORM.S.INV(RAND()))</f>
        <v/>
      </c>
    </row>
    <row r="5449">
      <c r="F5449">
        <f>F5448+1</f>
        <v/>
      </c>
      <c r="G5449" s="92">
        <f>EXP($C$12+$C$8*_xlfn.NORM.S.INV(RAND()))</f>
        <v/>
      </c>
    </row>
    <row r="5450">
      <c r="F5450">
        <f>F5449+1</f>
        <v/>
      </c>
      <c r="G5450" s="92">
        <f>EXP($C$12+$C$8*_xlfn.NORM.S.INV(RAND()))</f>
        <v/>
      </c>
    </row>
    <row r="5451">
      <c r="F5451">
        <f>F5450+1</f>
        <v/>
      </c>
      <c r="G5451" s="92">
        <f>EXP($C$12+$C$8*_xlfn.NORM.S.INV(RAND()))</f>
        <v/>
      </c>
    </row>
    <row r="5452">
      <c r="F5452">
        <f>F5451+1</f>
        <v/>
      </c>
      <c r="G5452" s="92">
        <f>EXP($C$12+$C$8*_xlfn.NORM.S.INV(RAND()))</f>
        <v/>
      </c>
    </row>
    <row r="5453">
      <c r="F5453">
        <f>F5452+1</f>
        <v/>
      </c>
      <c r="G5453" s="92">
        <f>EXP($C$12+$C$8*_xlfn.NORM.S.INV(RAND()))</f>
        <v/>
      </c>
    </row>
    <row r="5454">
      <c r="F5454">
        <f>F5453+1</f>
        <v/>
      </c>
      <c r="G5454" s="92">
        <f>EXP($C$12+$C$8*_xlfn.NORM.S.INV(RAND()))</f>
        <v/>
      </c>
    </row>
    <row r="5455">
      <c r="F5455">
        <f>F5454+1</f>
        <v/>
      </c>
      <c r="G5455" s="92">
        <f>EXP($C$12+$C$8*_xlfn.NORM.S.INV(RAND()))</f>
        <v/>
      </c>
    </row>
    <row r="5456">
      <c r="F5456">
        <f>F5455+1</f>
        <v/>
      </c>
      <c r="G5456" s="92">
        <f>EXP($C$12+$C$8*_xlfn.NORM.S.INV(RAND()))</f>
        <v/>
      </c>
    </row>
    <row r="5457">
      <c r="F5457">
        <f>F5456+1</f>
        <v/>
      </c>
      <c r="G5457" s="92">
        <f>EXP($C$12+$C$8*_xlfn.NORM.S.INV(RAND()))</f>
        <v/>
      </c>
    </row>
    <row r="5458">
      <c r="F5458">
        <f>F5457+1</f>
        <v/>
      </c>
      <c r="G5458" s="92">
        <f>EXP($C$12+$C$8*_xlfn.NORM.S.INV(RAND()))</f>
        <v/>
      </c>
    </row>
    <row r="5459">
      <c r="F5459">
        <f>F5458+1</f>
        <v/>
      </c>
      <c r="G5459" s="92">
        <f>EXP($C$12+$C$8*_xlfn.NORM.S.INV(RAND()))</f>
        <v/>
      </c>
    </row>
    <row r="5460">
      <c r="F5460">
        <f>F5459+1</f>
        <v/>
      </c>
      <c r="G5460" s="92">
        <f>EXP($C$12+$C$8*_xlfn.NORM.S.INV(RAND()))</f>
        <v/>
      </c>
    </row>
    <row r="5461">
      <c r="F5461">
        <f>F5460+1</f>
        <v/>
      </c>
      <c r="G5461" s="92">
        <f>EXP($C$12+$C$8*_xlfn.NORM.S.INV(RAND()))</f>
        <v/>
      </c>
    </row>
    <row r="5462">
      <c r="F5462">
        <f>F5461+1</f>
        <v/>
      </c>
      <c r="G5462" s="92">
        <f>EXP($C$12+$C$8*_xlfn.NORM.S.INV(RAND()))</f>
        <v/>
      </c>
    </row>
    <row r="5463">
      <c r="F5463">
        <f>F5462+1</f>
        <v/>
      </c>
      <c r="G5463" s="92">
        <f>EXP($C$12+$C$8*_xlfn.NORM.S.INV(RAND()))</f>
        <v/>
      </c>
    </row>
    <row r="5464">
      <c r="F5464">
        <f>F5463+1</f>
        <v/>
      </c>
      <c r="G5464" s="92">
        <f>EXP($C$12+$C$8*_xlfn.NORM.S.INV(RAND()))</f>
        <v/>
      </c>
    </row>
    <row r="5465">
      <c r="F5465">
        <f>F5464+1</f>
        <v/>
      </c>
      <c r="G5465" s="92">
        <f>EXP($C$12+$C$8*_xlfn.NORM.S.INV(RAND()))</f>
        <v/>
      </c>
    </row>
    <row r="5466">
      <c r="F5466">
        <f>F5465+1</f>
        <v/>
      </c>
      <c r="G5466" s="92">
        <f>EXP($C$12+$C$8*_xlfn.NORM.S.INV(RAND()))</f>
        <v/>
      </c>
    </row>
    <row r="5467">
      <c r="F5467">
        <f>F5466+1</f>
        <v/>
      </c>
      <c r="G5467" s="92">
        <f>EXP($C$12+$C$8*_xlfn.NORM.S.INV(RAND()))</f>
        <v/>
      </c>
    </row>
    <row r="5468">
      <c r="F5468">
        <f>F5467+1</f>
        <v/>
      </c>
      <c r="G5468" s="92">
        <f>EXP($C$12+$C$8*_xlfn.NORM.S.INV(RAND()))</f>
        <v/>
      </c>
    </row>
    <row r="5469">
      <c r="F5469">
        <f>F5468+1</f>
        <v/>
      </c>
      <c r="G5469" s="92">
        <f>EXP($C$12+$C$8*_xlfn.NORM.S.INV(RAND()))</f>
        <v/>
      </c>
    </row>
    <row r="5470">
      <c r="F5470">
        <f>F5469+1</f>
        <v/>
      </c>
      <c r="G5470" s="92">
        <f>EXP($C$12+$C$8*_xlfn.NORM.S.INV(RAND()))</f>
        <v/>
      </c>
    </row>
    <row r="5471">
      <c r="F5471">
        <f>F5470+1</f>
        <v/>
      </c>
      <c r="G5471" s="92">
        <f>EXP($C$12+$C$8*_xlfn.NORM.S.INV(RAND()))</f>
        <v/>
      </c>
    </row>
    <row r="5472">
      <c r="F5472">
        <f>F5471+1</f>
        <v/>
      </c>
      <c r="G5472" s="92">
        <f>EXP($C$12+$C$8*_xlfn.NORM.S.INV(RAND()))</f>
        <v/>
      </c>
    </row>
    <row r="5473">
      <c r="F5473">
        <f>F5472+1</f>
        <v/>
      </c>
      <c r="G5473" s="92">
        <f>EXP($C$12+$C$8*_xlfn.NORM.S.INV(RAND()))</f>
        <v/>
      </c>
    </row>
    <row r="5474">
      <c r="F5474">
        <f>F5473+1</f>
        <v/>
      </c>
      <c r="G5474" s="92">
        <f>EXP($C$12+$C$8*_xlfn.NORM.S.INV(RAND()))</f>
        <v/>
      </c>
    </row>
    <row r="5475">
      <c r="F5475">
        <f>F5474+1</f>
        <v/>
      </c>
      <c r="G5475" s="92">
        <f>EXP($C$12+$C$8*_xlfn.NORM.S.INV(RAND()))</f>
        <v/>
      </c>
    </row>
    <row r="5476">
      <c r="F5476">
        <f>F5475+1</f>
        <v/>
      </c>
      <c r="G5476" s="92">
        <f>EXP($C$12+$C$8*_xlfn.NORM.S.INV(RAND()))</f>
        <v/>
      </c>
    </row>
    <row r="5477">
      <c r="F5477">
        <f>F5476+1</f>
        <v/>
      </c>
      <c r="G5477" s="92">
        <f>EXP($C$12+$C$8*_xlfn.NORM.S.INV(RAND()))</f>
        <v/>
      </c>
    </row>
    <row r="5478">
      <c r="F5478">
        <f>F5477+1</f>
        <v/>
      </c>
      <c r="G5478" s="92">
        <f>EXP($C$12+$C$8*_xlfn.NORM.S.INV(RAND()))</f>
        <v/>
      </c>
    </row>
    <row r="5479">
      <c r="F5479">
        <f>F5478+1</f>
        <v/>
      </c>
      <c r="G5479" s="92">
        <f>EXP($C$12+$C$8*_xlfn.NORM.S.INV(RAND()))</f>
        <v/>
      </c>
    </row>
    <row r="5480">
      <c r="F5480">
        <f>F5479+1</f>
        <v/>
      </c>
      <c r="G5480" s="92">
        <f>EXP($C$12+$C$8*_xlfn.NORM.S.INV(RAND()))</f>
        <v/>
      </c>
    </row>
    <row r="5481">
      <c r="F5481">
        <f>F5480+1</f>
        <v/>
      </c>
      <c r="G5481" s="92">
        <f>EXP($C$12+$C$8*_xlfn.NORM.S.INV(RAND()))</f>
        <v/>
      </c>
    </row>
    <row r="5482">
      <c r="F5482">
        <f>F5481+1</f>
        <v/>
      </c>
      <c r="G5482" s="92">
        <f>EXP($C$12+$C$8*_xlfn.NORM.S.INV(RAND()))</f>
        <v/>
      </c>
    </row>
    <row r="5483">
      <c r="F5483">
        <f>F5482+1</f>
        <v/>
      </c>
      <c r="G5483" s="92">
        <f>EXP($C$12+$C$8*_xlfn.NORM.S.INV(RAND()))</f>
        <v/>
      </c>
    </row>
    <row r="5484">
      <c r="F5484">
        <f>F5483+1</f>
        <v/>
      </c>
      <c r="G5484" s="92">
        <f>EXP($C$12+$C$8*_xlfn.NORM.S.INV(RAND()))</f>
        <v/>
      </c>
    </row>
    <row r="5485">
      <c r="F5485">
        <f>F5484+1</f>
        <v/>
      </c>
      <c r="G5485" s="92">
        <f>EXP($C$12+$C$8*_xlfn.NORM.S.INV(RAND()))</f>
        <v/>
      </c>
    </row>
    <row r="5486">
      <c r="F5486">
        <f>F5485+1</f>
        <v/>
      </c>
      <c r="G5486" s="92">
        <f>EXP($C$12+$C$8*_xlfn.NORM.S.INV(RAND()))</f>
        <v/>
      </c>
    </row>
    <row r="5487">
      <c r="F5487">
        <f>F5486+1</f>
        <v/>
      </c>
      <c r="G5487" s="92">
        <f>EXP($C$12+$C$8*_xlfn.NORM.S.INV(RAND()))</f>
        <v/>
      </c>
    </row>
    <row r="5488">
      <c r="F5488">
        <f>F5487+1</f>
        <v/>
      </c>
      <c r="G5488" s="92">
        <f>EXP($C$12+$C$8*_xlfn.NORM.S.INV(RAND()))</f>
        <v/>
      </c>
    </row>
    <row r="5489">
      <c r="F5489">
        <f>F5488+1</f>
        <v/>
      </c>
      <c r="G5489" s="92">
        <f>EXP($C$12+$C$8*_xlfn.NORM.S.INV(RAND()))</f>
        <v/>
      </c>
    </row>
    <row r="5490">
      <c r="F5490">
        <f>F5489+1</f>
        <v/>
      </c>
      <c r="G5490" s="92">
        <f>EXP($C$12+$C$8*_xlfn.NORM.S.INV(RAND()))</f>
        <v/>
      </c>
    </row>
    <row r="5491">
      <c r="F5491">
        <f>F5490+1</f>
        <v/>
      </c>
      <c r="G5491" s="92">
        <f>EXP($C$12+$C$8*_xlfn.NORM.S.INV(RAND()))</f>
        <v/>
      </c>
    </row>
    <row r="5492">
      <c r="F5492">
        <f>F5491+1</f>
        <v/>
      </c>
      <c r="G5492" s="92">
        <f>EXP($C$12+$C$8*_xlfn.NORM.S.INV(RAND()))</f>
        <v/>
      </c>
    </row>
    <row r="5493">
      <c r="F5493">
        <f>F5492+1</f>
        <v/>
      </c>
      <c r="G5493" s="92">
        <f>EXP($C$12+$C$8*_xlfn.NORM.S.INV(RAND()))</f>
        <v/>
      </c>
    </row>
    <row r="5494">
      <c r="F5494">
        <f>F5493+1</f>
        <v/>
      </c>
      <c r="G5494" s="92">
        <f>EXP($C$12+$C$8*_xlfn.NORM.S.INV(RAND()))</f>
        <v/>
      </c>
    </row>
    <row r="5495">
      <c r="F5495">
        <f>F5494+1</f>
        <v/>
      </c>
      <c r="G5495" s="92">
        <f>EXP($C$12+$C$8*_xlfn.NORM.S.INV(RAND()))</f>
        <v/>
      </c>
    </row>
    <row r="5496">
      <c r="F5496">
        <f>F5495+1</f>
        <v/>
      </c>
      <c r="G5496" s="92">
        <f>EXP($C$12+$C$8*_xlfn.NORM.S.INV(RAND()))</f>
        <v/>
      </c>
    </row>
    <row r="5497">
      <c r="F5497">
        <f>F5496+1</f>
        <v/>
      </c>
      <c r="G5497" s="92">
        <f>EXP($C$12+$C$8*_xlfn.NORM.S.INV(RAND()))</f>
        <v/>
      </c>
    </row>
    <row r="5498">
      <c r="F5498">
        <f>F5497+1</f>
        <v/>
      </c>
      <c r="G5498" s="92">
        <f>EXP($C$12+$C$8*_xlfn.NORM.S.INV(RAND()))</f>
        <v/>
      </c>
    </row>
    <row r="5499">
      <c r="F5499">
        <f>F5498+1</f>
        <v/>
      </c>
      <c r="G5499" s="92">
        <f>EXP($C$12+$C$8*_xlfn.NORM.S.INV(RAND()))</f>
        <v/>
      </c>
    </row>
    <row r="5500">
      <c r="F5500">
        <f>F5499+1</f>
        <v/>
      </c>
      <c r="G5500" s="92">
        <f>EXP($C$12+$C$8*_xlfn.NORM.S.INV(RAND()))</f>
        <v/>
      </c>
    </row>
    <row r="5501">
      <c r="F5501">
        <f>F5500+1</f>
        <v/>
      </c>
      <c r="G5501" s="92">
        <f>EXP($C$12+$C$8*_xlfn.NORM.S.INV(RAND()))</f>
        <v/>
      </c>
    </row>
    <row r="5502">
      <c r="F5502">
        <f>F5501+1</f>
        <v/>
      </c>
      <c r="G5502" s="92">
        <f>EXP($C$12+$C$8*_xlfn.NORM.S.INV(RAND()))</f>
        <v/>
      </c>
    </row>
    <row r="5503">
      <c r="F5503">
        <f>F5502+1</f>
        <v/>
      </c>
      <c r="G5503" s="92">
        <f>EXP($C$12+$C$8*_xlfn.NORM.S.INV(RAND()))</f>
        <v/>
      </c>
    </row>
    <row r="5504">
      <c r="F5504">
        <f>F5503+1</f>
        <v/>
      </c>
      <c r="G5504" s="92">
        <f>EXP($C$12+$C$8*_xlfn.NORM.S.INV(RAND()))</f>
        <v/>
      </c>
    </row>
    <row r="5505">
      <c r="F5505">
        <f>F5504+1</f>
        <v/>
      </c>
      <c r="G5505" s="92">
        <f>EXP($C$12+$C$8*_xlfn.NORM.S.INV(RAND()))</f>
        <v/>
      </c>
    </row>
    <row r="5506">
      <c r="F5506">
        <f>F5505+1</f>
        <v/>
      </c>
      <c r="G5506" s="92">
        <f>EXP($C$12+$C$8*_xlfn.NORM.S.INV(RAND()))</f>
        <v/>
      </c>
    </row>
    <row r="5507">
      <c r="F5507">
        <f>F5506+1</f>
        <v/>
      </c>
      <c r="G5507" s="92">
        <f>EXP($C$12+$C$8*_xlfn.NORM.S.INV(RAND()))</f>
        <v/>
      </c>
    </row>
    <row r="5508">
      <c r="F5508">
        <f>F5507+1</f>
        <v/>
      </c>
      <c r="G5508" s="92">
        <f>EXP($C$12+$C$8*_xlfn.NORM.S.INV(RAND()))</f>
        <v/>
      </c>
    </row>
    <row r="5509">
      <c r="F5509">
        <f>F5508+1</f>
        <v/>
      </c>
      <c r="G5509" s="92">
        <f>EXP($C$12+$C$8*_xlfn.NORM.S.INV(RAND()))</f>
        <v/>
      </c>
    </row>
    <row r="5510">
      <c r="F5510">
        <f>F5509+1</f>
        <v/>
      </c>
      <c r="G5510" s="92">
        <f>EXP($C$12+$C$8*_xlfn.NORM.S.INV(RAND()))</f>
        <v/>
      </c>
    </row>
    <row r="5511">
      <c r="F5511">
        <f>F5510+1</f>
        <v/>
      </c>
      <c r="G5511" s="92">
        <f>EXP($C$12+$C$8*_xlfn.NORM.S.INV(RAND()))</f>
        <v/>
      </c>
    </row>
    <row r="5512">
      <c r="F5512">
        <f>F5511+1</f>
        <v/>
      </c>
      <c r="G5512" s="92">
        <f>EXP($C$12+$C$8*_xlfn.NORM.S.INV(RAND()))</f>
        <v/>
      </c>
    </row>
    <row r="5513">
      <c r="F5513">
        <f>F5512+1</f>
        <v/>
      </c>
      <c r="G5513" s="92">
        <f>EXP($C$12+$C$8*_xlfn.NORM.S.INV(RAND()))</f>
        <v/>
      </c>
    </row>
    <row r="5514">
      <c r="F5514">
        <f>F5513+1</f>
        <v/>
      </c>
      <c r="G5514" s="92">
        <f>EXP($C$12+$C$8*_xlfn.NORM.S.INV(RAND()))</f>
        <v/>
      </c>
    </row>
    <row r="5515">
      <c r="F5515">
        <f>F5514+1</f>
        <v/>
      </c>
      <c r="G5515" s="92">
        <f>EXP($C$12+$C$8*_xlfn.NORM.S.INV(RAND()))</f>
        <v/>
      </c>
    </row>
    <row r="5516">
      <c r="F5516">
        <f>F5515+1</f>
        <v/>
      </c>
      <c r="G5516" s="92">
        <f>EXP($C$12+$C$8*_xlfn.NORM.S.INV(RAND()))</f>
        <v/>
      </c>
    </row>
    <row r="5517">
      <c r="F5517">
        <f>F5516+1</f>
        <v/>
      </c>
      <c r="G5517" s="92">
        <f>EXP($C$12+$C$8*_xlfn.NORM.S.INV(RAND()))</f>
        <v/>
      </c>
    </row>
    <row r="5518">
      <c r="F5518">
        <f>F5517+1</f>
        <v/>
      </c>
      <c r="G5518" s="92">
        <f>EXP($C$12+$C$8*_xlfn.NORM.S.INV(RAND()))</f>
        <v/>
      </c>
    </row>
    <row r="5519">
      <c r="F5519">
        <f>F5518+1</f>
        <v/>
      </c>
      <c r="G5519" s="92">
        <f>EXP($C$12+$C$8*_xlfn.NORM.S.INV(RAND()))</f>
        <v/>
      </c>
    </row>
    <row r="5520">
      <c r="F5520">
        <f>F5519+1</f>
        <v/>
      </c>
      <c r="G5520" s="92">
        <f>EXP($C$12+$C$8*_xlfn.NORM.S.INV(RAND()))</f>
        <v/>
      </c>
    </row>
    <row r="5521">
      <c r="F5521">
        <f>F5520+1</f>
        <v/>
      </c>
      <c r="G5521" s="92">
        <f>EXP($C$12+$C$8*_xlfn.NORM.S.INV(RAND()))</f>
        <v/>
      </c>
    </row>
    <row r="5522">
      <c r="F5522">
        <f>F5521+1</f>
        <v/>
      </c>
      <c r="G5522" s="92">
        <f>EXP($C$12+$C$8*_xlfn.NORM.S.INV(RAND()))</f>
        <v/>
      </c>
    </row>
    <row r="5523">
      <c r="F5523">
        <f>F5522+1</f>
        <v/>
      </c>
      <c r="G5523" s="92">
        <f>EXP($C$12+$C$8*_xlfn.NORM.S.INV(RAND()))</f>
        <v/>
      </c>
    </row>
    <row r="5524">
      <c r="F5524">
        <f>F5523+1</f>
        <v/>
      </c>
      <c r="G5524" s="92">
        <f>EXP($C$12+$C$8*_xlfn.NORM.S.INV(RAND()))</f>
        <v/>
      </c>
    </row>
    <row r="5525">
      <c r="F5525">
        <f>F5524+1</f>
        <v/>
      </c>
      <c r="G5525" s="92">
        <f>EXP($C$12+$C$8*_xlfn.NORM.S.INV(RAND()))</f>
        <v/>
      </c>
    </row>
    <row r="5526">
      <c r="F5526">
        <f>F5525+1</f>
        <v/>
      </c>
      <c r="G5526" s="92">
        <f>EXP($C$12+$C$8*_xlfn.NORM.S.INV(RAND()))</f>
        <v/>
      </c>
    </row>
    <row r="5527">
      <c r="F5527">
        <f>F5526+1</f>
        <v/>
      </c>
      <c r="G5527" s="92">
        <f>EXP($C$12+$C$8*_xlfn.NORM.S.INV(RAND()))</f>
        <v/>
      </c>
    </row>
    <row r="5528">
      <c r="F5528">
        <f>F5527+1</f>
        <v/>
      </c>
      <c r="G5528" s="92">
        <f>EXP($C$12+$C$8*_xlfn.NORM.S.INV(RAND()))</f>
        <v/>
      </c>
    </row>
    <row r="5529">
      <c r="F5529">
        <f>F5528+1</f>
        <v/>
      </c>
      <c r="G5529" s="92">
        <f>EXP($C$12+$C$8*_xlfn.NORM.S.INV(RAND()))</f>
        <v/>
      </c>
    </row>
    <row r="5530">
      <c r="F5530">
        <f>F5529+1</f>
        <v/>
      </c>
      <c r="G5530" s="92">
        <f>EXP($C$12+$C$8*_xlfn.NORM.S.INV(RAND()))</f>
        <v/>
      </c>
    </row>
    <row r="5531">
      <c r="F5531">
        <f>F5530+1</f>
        <v/>
      </c>
      <c r="G5531" s="92">
        <f>EXP($C$12+$C$8*_xlfn.NORM.S.INV(RAND()))</f>
        <v/>
      </c>
    </row>
    <row r="5532">
      <c r="F5532">
        <f>F5531+1</f>
        <v/>
      </c>
      <c r="G5532" s="92">
        <f>EXP($C$12+$C$8*_xlfn.NORM.S.INV(RAND()))</f>
        <v/>
      </c>
    </row>
    <row r="5533">
      <c r="F5533">
        <f>F5532+1</f>
        <v/>
      </c>
      <c r="G5533" s="92">
        <f>EXP($C$12+$C$8*_xlfn.NORM.S.INV(RAND()))</f>
        <v/>
      </c>
    </row>
    <row r="5534">
      <c r="F5534">
        <f>F5533+1</f>
        <v/>
      </c>
      <c r="G5534" s="92">
        <f>EXP($C$12+$C$8*_xlfn.NORM.S.INV(RAND()))</f>
        <v/>
      </c>
    </row>
    <row r="5535">
      <c r="F5535">
        <f>F5534+1</f>
        <v/>
      </c>
      <c r="G5535" s="92">
        <f>EXP($C$12+$C$8*_xlfn.NORM.S.INV(RAND()))</f>
        <v/>
      </c>
    </row>
    <row r="5536">
      <c r="F5536">
        <f>F5535+1</f>
        <v/>
      </c>
      <c r="G5536" s="92">
        <f>EXP($C$12+$C$8*_xlfn.NORM.S.INV(RAND()))</f>
        <v/>
      </c>
    </row>
    <row r="5537">
      <c r="F5537">
        <f>F5536+1</f>
        <v/>
      </c>
      <c r="G5537" s="92">
        <f>EXP($C$12+$C$8*_xlfn.NORM.S.INV(RAND()))</f>
        <v/>
      </c>
    </row>
    <row r="5538">
      <c r="F5538">
        <f>F5537+1</f>
        <v/>
      </c>
      <c r="G5538" s="92">
        <f>EXP($C$12+$C$8*_xlfn.NORM.S.INV(RAND()))</f>
        <v/>
      </c>
    </row>
    <row r="5539">
      <c r="F5539">
        <f>F5538+1</f>
        <v/>
      </c>
      <c r="G5539" s="92">
        <f>EXP($C$12+$C$8*_xlfn.NORM.S.INV(RAND()))</f>
        <v/>
      </c>
    </row>
    <row r="5540">
      <c r="F5540">
        <f>F5539+1</f>
        <v/>
      </c>
      <c r="G5540" s="92">
        <f>EXP($C$12+$C$8*_xlfn.NORM.S.INV(RAND()))</f>
        <v/>
      </c>
    </row>
    <row r="5541">
      <c r="F5541">
        <f>F5540+1</f>
        <v/>
      </c>
      <c r="G5541" s="92">
        <f>EXP($C$12+$C$8*_xlfn.NORM.S.INV(RAND()))</f>
        <v/>
      </c>
    </row>
    <row r="5542">
      <c r="F5542">
        <f>F5541+1</f>
        <v/>
      </c>
      <c r="G5542" s="92">
        <f>EXP($C$12+$C$8*_xlfn.NORM.S.INV(RAND()))</f>
        <v/>
      </c>
    </row>
    <row r="5543">
      <c r="F5543">
        <f>F5542+1</f>
        <v/>
      </c>
      <c r="G5543" s="92">
        <f>EXP($C$12+$C$8*_xlfn.NORM.S.INV(RAND()))</f>
        <v/>
      </c>
    </row>
    <row r="5544">
      <c r="F5544">
        <f>F5543+1</f>
        <v/>
      </c>
      <c r="G5544" s="92">
        <f>EXP($C$12+$C$8*_xlfn.NORM.S.INV(RAND()))</f>
        <v/>
      </c>
    </row>
    <row r="5545">
      <c r="F5545">
        <f>F5544+1</f>
        <v/>
      </c>
      <c r="G5545" s="92">
        <f>EXP($C$12+$C$8*_xlfn.NORM.S.INV(RAND()))</f>
        <v/>
      </c>
    </row>
    <row r="5546">
      <c r="F5546">
        <f>F5545+1</f>
        <v/>
      </c>
      <c r="G5546" s="92">
        <f>EXP($C$12+$C$8*_xlfn.NORM.S.INV(RAND()))</f>
        <v/>
      </c>
    </row>
    <row r="5547">
      <c r="F5547">
        <f>F5546+1</f>
        <v/>
      </c>
      <c r="G5547" s="92">
        <f>EXP($C$12+$C$8*_xlfn.NORM.S.INV(RAND()))</f>
        <v/>
      </c>
    </row>
    <row r="5548">
      <c r="F5548">
        <f>F5547+1</f>
        <v/>
      </c>
      <c r="G5548" s="92">
        <f>EXP($C$12+$C$8*_xlfn.NORM.S.INV(RAND()))</f>
        <v/>
      </c>
    </row>
    <row r="5549">
      <c r="F5549">
        <f>F5548+1</f>
        <v/>
      </c>
      <c r="G5549" s="92">
        <f>EXP($C$12+$C$8*_xlfn.NORM.S.INV(RAND()))</f>
        <v/>
      </c>
    </row>
    <row r="5550">
      <c r="F5550">
        <f>F5549+1</f>
        <v/>
      </c>
      <c r="G5550" s="92">
        <f>EXP($C$12+$C$8*_xlfn.NORM.S.INV(RAND()))</f>
        <v/>
      </c>
    </row>
    <row r="5551">
      <c r="F5551">
        <f>F5550+1</f>
        <v/>
      </c>
      <c r="G5551" s="92">
        <f>EXP($C$12+$C$8*_xlfn.NORM.S.INV(RAND()))</f>
        <v/>
      </c>
    </row>
    <row r="5552">
      <c r="F5552">
        <f>F5551+1</f>
        <v/>
      </c>
      <c r="G5552" s="92">
        <f>EXP($C$12+$C$8*_xlfn.NORM.S.INV(RAND()))</f>
        <v/>
      </c>
    </row>
    <row r="5553">
      <c r="F5553">
        <f>F5552+1</f>
        <v/>
      </c>
      <c r="G5553" s="92">
        <f>EXP($C$12+$C$8*_xlfn.NORM.S.INV(RAND()))</f>
        <v/>
      </c>
    </row>
    <row r="5554">
      <c r="F5554">
        <f>F5553+1</f>
        <v/>
      </c>
      <c r="G5554" s="92">
        <f>EXP($C$12+$C$8*_xlfn.NORM.S.INV(RAND()))</f>
        <v/>
      </c>
    </row>
    <row r="5555">
      <c r="F5555">
        <f>F5554+1</f>
        <v/>
      </c>
      <c r="G5555" s="92">
        <f>EXP($C$12+$C$8*_xlfn.NORM.S.INV(RAND()))</f>
        <v/>
      </c>
    </row>
    <row r="5556">
      <c r="F5556">
        <f>F5555+1</f>
        <v/>
      </c>
      <c r="G5556" s="92">
        <f>EXP($C$12+$C$8*_xlfn.NORM.S.INV(RAND()))</f>
        <v/>
      </c>
    </row>
    <row r="5557">
      <c r="F5557">
        <f>F5556+1</f>
        <v/>
      </c>
      <c r="G5557" s="92">
        <f>EXP($C$12+$C$8*_xlfn.NORM.S.INV(RAND()))</f>
        <v/>
      </c>
    </row>
    <row r="5558">
      <c r="F5558">
        <f>F5557+1</f>
        <v/>
      </c>
      <c r="G5558" s="92">
        <f>EXP($C$12+$C$8*_xlfn.NORM.S.INV(RAND()))</f>
        <v/>
      </c>
    </row>
    <row r="5559">
      <c r="F5559">
        <f>F5558+1</f>
        <v/>
      </c>
      <c r="G5559" s="92">
        <f>EXP($C$12+$C$8*_xlfn.NORM.S.INV(RAND()))</f>
        <v/>
      </c>
    </row>
    <row r="5560">
      <c r="F5560">
        <f>F5559+1</f>
        <v/>
      </c>
      <c r="G5560" s="92">
        <f>EXP($C$12+$C$8*_xlfn.NORM.S.INV(RAND()))</f>
        <v/>
      </c>
    </row>
    <row r="5561">
      <c r="F5561">
        <f>F5560+1</f>
        <v/>
      </c>
      <c r="G5561" s="92">
        <f>EXP($C$12+$C$8*_xlfn.NORM.S.INV(RAND()))</f>
        <v/>
      </c>
    </row>
    <row r="5562">
      <c r="F5562">
        <f>F5561+1</f>
        <v/>
      </c>
      <c r="G5562" s="92">
        <f>EXP($C$12+$C$8*_xlfn.NORM.S.INV(RAND()))</f>
        <v/>
      </c>
    </row>
    <row r="5563">
      <c r="F5563">
        <f>F5562+1</f>
        <v/>
      </c>
      <c r="G5563" s="92">
        <f>EXP($C$12+$C$8*_xlfn.NORM.S.INV(RAND()))</f>
        <v/>
      </c>
    </row>
    <row r="5564">
      <c r="F5564">
        <f>F5563+1</f>
        <v/>
      </c>
      <c r="G5564" s="92">
        <f>EXP($C$12+$C$8*_xlfn.NORM.S.INV(RAND()))</f>
        <v/>
      </c>
    </row>
    <row r="5565">
      <c r="F5565">
        <f>F5564+1</f>
        <v/>
      </c>
      <c r="G5565" s="92">
        <f>EXP($C$12+$C$8*_xlfn.NORM.S.INV(RAND()))</f>
        <v/>
      </c>
    </row>
    <row r="5566">
      <c r="F5566">
        <f>F5565+1</f>
        <v/>
      </c>
      <c r="G5566" s="92">
        <f>EXP($C$12+$C$8*_xlfn.NORM.S.INV(RAND()))</f>
        <v/>
      </c>
    </row>
    <row r="5567">
      <c r="F5567">
        <f>F5566+1</f>
        <v/>
      </c>
      <c r="G5567" s="92">
        <f>EXP($C$12+$C$8*_xlfn.NORM.S.INV(RAND()))</f>
        <v/>
      </c>
    </row>
    <row r="5568">
      <c r="F5568">
        <f>F5567+1</f>
        <v/>
      </c>
      <c r="G5568" s="92">
        <f>EXP($C$12+$C$8*_xlfn.NORM.S.INV(RAND()))</f>
        <v/>
      </c>
    </row>
    <row r="5569">
      <c r="F5569">
        <f>F5568+1</f>
        <v/>
      </c>
      <c r="G5569" s="92">
        <f>EXP($C$12+$C$8*_xlfn.NORM.S.INV(RAND()))</f>
        <v/>
      </c>
    </row>
    <row r="5570">
      <c r="F5570">
        <f>F5569+1</f>
        <v/>
      </c>
      <c r="G5570" s="92">
        <f>EXP($C$12+$C$8*_xlfn.NORM.S.INV(RAND()))</f>
        <v/>
      </c>
    </row>
    <row r="5571">
      <c r="F5571">
        <f>F5570+1</f>
        <v/>
      </c>
      <c r="G5571" s="92">
        <f>EXP($C$12+$C$8*_xlfn.NORM.S.INV(RAND()))</f>
        <v/>
      </c>
    </row>
    <row r="5572">
      <c r="F5572">
        <f>F5571+1</f>
        <v/>
      </c>
      <c r="G5572" s="92">
        <f>EXP($C$12+$C$8*_xlfn.NORM.S.INV(RAND()))</f>
        <v/>
      </c>
    </row>
    <row r="5573">
      <c r="F5573">
        <f>F5572+1</f>
        <v/>
      </c>
      <c r="G5573" s="92">
        <f>EXP($C$12+$C$8*_xlfn.NORM.S.INV(RAND()))</f>
        <v/>
      </c>
    </row>
    <row r="5574">
      <c r="F5574">
        <f>F5573+1</f>
        <v/>
      </c>
      <c r="G5574" s="92">
        <f>EXP($C$12+$C$8*_xlfn.NORM.S.INV(RAND()))</f>
        <v/>
      </c>
    </row>
    <row r="5575">
      <c r="F5575">
        <f>F5574+1</f>
        <v/>
      </c>
      <c r="G5575" s="92">
        <f>EXP($C$12+$C$8*_xlfn.NORM.S.INV(RAND()))</f>
        <v/>
      </c>
    </row>
    <row r="5576">
      <c r="F5576">
        <f>F5575+1</f>
        <v/>
      </c>
      <c r="G5576" s="92">
        <f>EXP($C$12+$C$8*_xlfn.NORM.S.INV(RAND()))</f>
        <v/>
      </c>
    </row>
    <row r="5577">
      <c r="F5577">
        <f>F5576+1</f>
        <v/>
      </c>
      <c r="G5577" s="92">
        <f>EXP($C$12+$C$8*_xlfn.NORM.S.INV(RAND()))</f>
        <v/>
      </c>
    </row>
    <row r="5578">
      <c r="F5578">
        <f>F5577+1</f>
        <v/>
      </c>
      <c r="G5578" s="92">
        <f>EXP($C$12+$C$8*_xlfn.NORM.S.INV(RAND()))</f>
        <v/>
      </c>
    </row>
    <row r="5579">
      <c r="F5579">
        <f>F5578+1</f>
        <v/>
      </c>
      <c r="G5579" s="92">
        <f>EXP($C$12+$C$8*_xlfn.NORM.S.INV(RAND()))</f>
        <v/>
      </c>
    </row>
    <row r="5580">
      <c r="F5580">
        <f>F5579+1</f>
        <v/>
      </c>
      <c r="G5580" s="92">
        <f>EXP($C$12+$C$8*_xlfn.NORM.S.INV(RAND()))</f>
        <v/>
      </c>
    </row>
    <row r="5581">
      <c r="F5581">
        <f>F5580+1</f>
        <v/>
      </c>
      <c r="G5581" s="92">
        <f>EXP($C$12+$C$8*_xlfn.NORM.S.INV(RAND()))</f>
        <v/>
      </c>
    </row>
    <row r="5582">
      <c r="F5582">
        <f>F5581+1</f>
        <v/>
      </c>
      <c r="G5582" s="92">
        <f>EXP($C$12+$C$8*_xlfn.NORM.S.INV(RAND()))</f>
        <v/>
      </c>
    </row>
    <row r="5583">
      <c r="F5583">
        <f>F5582+1</f>
        <v/>
      </c>
      <c r="G5583" s="92">
        <f>EXP($C$12+$C$8*_xlfn.NORM.S.INV(RAND()))</f>
        <v/>
      </c>
    </row>
    <row r="5584">
      <c r="F5584">
        <f>F5583+1</f>
        <v/>
      </c>
      <c r="G5584" s="92">
        <f>EXP($C$12+$C$8*_xlfn.NORM.S.INV(RAND()))</f>
        <v/>
      </c>
    </row>
    <row r="5585">
      <c r="F5585">
        <f>F5584+1</f>
        <v/>
      </c>
      <c r="G5585" s="92">
        <f>EXP($C$12+$C$8*_xlfn.NORM.S.INV(RAND()))</f>
        <v/>
      </c>
    </row>
    <row r="5586">
      <c r="F5586">
        <f>F5585+1</f>
        <v/>
      </c>
      <c r="G5586" s="92">
        <f>EXP($C$12+$C$8*_xlfn.NORM.S.INV(RAND()))</f>
        <v/>
      </c>
    </row>
    <row r="5587">
      <c r="F5587">
        <f>F5586+1</f>
        <v/>
      </c>
      <c r="G5587" s="92">
        <f>EXP($C$12+$C$8*_xlfn.NORM.S.INV(RAND()))</f>
        <v/>
      </c>
    </row>
    <row r="5588">
      <c r="F5588">
        <f>F5587+1</f>
        <v/>
      </c>
      <c r="G5588" s="92">
        <f>EXP($C$12+$C$8*_xlfn.NORM.S.INV(RAND()))</f>
        <v/>
      </c>
    </row>
    <row r="5589">
      <c r="F5589">
        <f>F5588+1</f>
        <v/>
      </c>
      <c r="G5589" s="92">
        <f>EXP($C$12+$C$8*_xlfn.NORM.S.INV(RAND()))</f>
        <v/>
      </c>
    </row>
    <row r="5590">
      <c r="F5590">
        <f>F5589+1</f>
        <v/>
      </c>
      <c r="G5590" s="92">
        <f>EXP($C$12+$C$8*_xlfn.NORM.S.INV(RAND()))</f>
        <v/>
      </c>
    </row>
    <row r="5591">
      <c r="F5591">
        <f>F5590+1</f>
        <v/>
      </c>
      <c r="G5591" s="92">
        <f>EXP($C$12+$C$8*_xlfn.NORM.S.INV(RAND()))</f>
        <v/>
      </c>
    </row>
    <row r="5592">
      <c r="F5592">
        <f>F5591+1</f>
        <v/>
      </c>
      <c r="G5592" s="92">
        <f>EXP($C$12+$C$8*_xlfn.NORM.S.INV(RAND()))</f>
        <v/>
      </c>
    </row>
    <row r="5593">
      <c r="F5593">
        <f>F5592+1</f>
        <v/>
      </c>
      <c r="G5593" s="92">
        <f>EXP($C$12+$C$8*_xlfn.NORM.S.INV(RAND()))</f>
        <v/>
      </c>
    </row>
    <row r="5594">
      <c r="F5594">
        <f>F5593+1</f>
        <v/>
      </c>
      <c r="G5594" s="92">
        <f>EXP($C$12+$C$8*_xlfn.NORM.S.INV(RAND()))</f>
        <v/>
      </c>
    </row>
    <row r="5595">
      <c r="F5595">
        <f>F5594+1</f>
        <v/>
      </c>
      <c r="G5595" s="92">
        <f>EXP($C$12+$C$8*_xlfn.NORM.S.INV(RAND()))</f>
        <v/>
      </c>
    </row>
    <row r="5596">
      <c r="F5596">
        <f>F5595+1</f>
        <v/>
      </c>
      <c r="G5596" s="92">
        <f>EXP($C$12+$C$8*_xlfn.NORM.S.INV(RAND()))</f>
        <v/>
      </c>
    </row>
    <row r="5597">
      <c r="F5597">
        <f>F5596+1</f>
        <v/>
      </c>
      <c r="G5597" s="92">
        <f>EXP($C$12+$C$8*_xlfn.NORM.S.INV(RAND()))</f>
        <v/>
      </c>
    </row>
    <row r="5598">
      <c r="F5598">
        <f>F5597+1</f>
        <v/>
      </c>
      <c r="G5598" s="92">
        <f>EXP($C$12+$C$8*_xlfn.NORM.S.INV(RAND()))</f>
        <v/>
      </c>
    </row>
    <row r="5599">
      <c r="F5599">
        <f>F5598+1</f>
        <v/>
      </c>
      <c r="G5599" s="92">
        <f>EXP($C$12+$C$8*_xlfn.NORM.S.INV(RAND()))</f>
        <v/>
      </c>
    </row>
    <row r="5600">
      <c r="F5600">
        <f>F5599+1</f>
        <v/>
      </c>
      <c r="G5600" s="92">
        <f>EXP($C$12+$C$8*_xlfn.NORM.S.INV(RAND()))</f>
        <v/>
      </c>
    </row>
    <row r="5601">
      <c r="F5601">
        <f>F5600+1</f>
        <v/>
      </c>
      <c r="G5601" s="92">
        <f>EXP($C$12+$C$8*_xlfn.NORM.S.INV(RAND()))</f>
        <v/>
      </c>
    </row>
    <row r="5602">
      <c r="F5602">
        <f>F5601+1</f>
        <v/>
      </c>
      <c r="G5602" s="92">
        <f>EXP($C$12+$C$8*_xlfn.NORM.S.INV(RAND()))</f>
        <v/>
      </c>
    </row>
    <row r="5603">
      <c r="F5603">
        <f>F5602+1</f>
        <v/>
      </c>
      <c r="G5603" s="92">
        <f>EXP($C$12+$C$8*_xlfn.NORM.S.INV(RAND()))</f>
        <v/>
      </c>
    </row>
    <row r="5604">
      <c r="F5604">
        <f>F5603+1</f>
        <v/>
      </c>
      <c r="G5604" s="92">
        <f>EXP($C$12+$C$8*_xlfn.NORM.S.INV(RAND()))</f>
        <v/>
      </c>
    </row>
    <row r="5605">
      <c r="F5605">
        <f>F5604+1</f>
        <v/>
      </c>
      <c r="G5605" s="92">
        <f>EXP($C$12+$C$8*_xlfn.NORM.S.INV(RAND()))</f>
        <v/>
      </c>
    </row>
    <row r="5606">
      <c r="F5606">
        <f>F5605+1</f>
        <v/>
      </c>
      <c r="G5606" s="92">
        <f>EXP($C$12+$C$8*_xlfn.NORM.S.INV(RAND()))</f>
        <v/>
      </c>
    </row>
    <row r="5607">
      <c r="F5607">
        <f>F5606+1</f>
        <v/>
      </c>
      <c r="G5607" s="92">
        <f>EXP($C$12+$C$8*_xlfn.NORM.S.INV(RAND()))</f>
        <v/>
      </c>
    </row>
    <row r="5608">
      <c r="F5608">
        <f>F5607+1</f>
        <v/>
      </c>
      <c r="G5608" s="92">
        <f>EXP($C$12+$C$8*_xlfn.NORM.S.INV(RAND()))</f>
        <v/>
      </c>
    </row>
    <row r="5609">
      <c r="F5609">
        <f>F5608+1</f>
        <v/>
      </c>
      <c r="G5609" s="92">
        <f>EXP($C$12+$C$8*_xlfn.NORM.S.INV(RAND()))</f>
        <v/>
      </c>
    </row>
    <row r="5610">
      <c r="F5610">
        <f>F5609+1</f>
        <v/>
      </c>
      <c r="G5610" s="92">
        <f>EXP($C$12+$C$8*_xlfn.NORM.S.INV(RAND()))</f>
        <v/>
      </c>
    </row>
    <row r="5611">
      <c r="F5611">
        <f>F5610+1</f>
        <v/>
      </c>
      <c r="G5611" s="92">
        <f>EXP($C$12+$C$8*_xlfn.NORM.S.INV(RAND()))</f>
        <v/>
      </c>
    </row>
    <row r="5612">
      <c r="F5612">
        <f>F5611+1</f>
        <v/>
      </c>
      <c r="G5612" s="92">
        <f>EXP($C$12+$C$8*_xlfn.NORM.S.INV(RAND()))</f>
        <v/>
      </c>
    </row>
    <row r="5613">
      <c r="F5613">
        <f>F5612+1</f>
        <v/>
      </c>
      <c r="G5613" s="92">
        <f>EXP($C$12+$C$8*_xlfn.NORM.S.INV(RAND()))</f>
        <v/>
      </c>
    </row>
    <row r="5614">
      <c r="F5614">
        <f>F5613+1</f>
        <v/>
      </c>
      <c r="G5614" s="92">
        <f>EXP($C$12+$C$8*_xlfn.NORM.S.INV(RAND()))</f>
        <v/>
      </c>
    </row>
    <row r="5615">
      <c r="F5615">
        <f>F5614+1</f>
        <v/>
      </c>
      <c r="G5615" s="92">
        <f>EXP($C$12+$C$8*_xlfn.NORM.S.INV(RAND()))</f>
        <v/>
      </c>
    </row>
    <row r="5616">
      <c r="F5616">
        <f>F5615+1</f>
        <v/>
      </c>
      <c r="G5616" s="92">
        <f>EXP($C$12+$C$8*_xlfn.NORM.S.INV(RAND()))</f>
        <v/>
      </c>
    </row>
    <row r="5617">
      <c r="F5617">
        <f>F5616+1</f>
        <v/>
      </c>
      <c r="G5617" s="92">
        <f>EXP($C$12+$C$8*_xlfn.NORM.S.INV(RAND()))</f>
        <v/>
      </c>
    </row>
    <row r="5618">
      <c r="F5618">
        <f>F5617+1</f>
        <v/>
      </c>
      <c r="G5618" s="92">
        <f>EXP($C$12+$C$8*_xlfn.NORM.S.INV(RAND()))</f>
        <v/>
      </c>
    </row>
    <row r="5619">
      <c r="F5619">
        <f>F5618+1</f>
        <v/>
      </c>
      <c r="G5619" s="92">
        <f>EXP($C$12+$C$8*_xlfn.NORM.S.INV(RAND()))</f>
        <v/>
      </c>
    </row>
    <row r="5620">
      <c r="F5620">
        <f>F5619+1</f>
        <v/>
      </c>
      <c r="G5620" s="92">
        <f>EXP($C$12+$C$8*_xlfn.NORM.S.INV(RAND()))</f>
        <v/>
      </c>
    </row>
    <row r="5621">
      <c r="F5621">
        <f>F5620+1</f>
        <v/>
      </c>
      <c r="G5621" s="92">
        <f>EXP($C$12+$C$8*_xlfn.NORM.S.INV(RAND()))</f>
        <v/>
      </c>
    </row>
    <row r="5622">
      <c r="F5622">
        <f>F5621+1</f>
        <v/>
      </c>
      <c r="G5622" s="92">
        <f>EXP($C$12+$C$8*_xlfn.NORM.S.INV(RAND()))</f>
        <v/>
      </c>
    </row>
    <row r="5623">
      <c r="F5623">
        <f>F5622+1</f>
        <v/>
      </c>
      <c r="G5623" s="92">
        <f>EXP($C$12+$C$8*_xlfn.NORM.S.INV(RAND()))</f>
        <v/>
      </c>
    </row>
    <row r="5624">
      <c r="F5624">
        <f>F5623+1</f>
        <v/>
      </c>
      <c r="G5624" s="92">
        <f>EXP($C$12+$C$8*_xlfn.NORM.S.INV(RAND()))</f>
        <v/>
      </c>
    </row>
    <row r="5625">
      <c r="F5625">
        <f>F5624+1</f>
        <v/>
      </c>
      <c r="G5625" s="92">
        <f>EXP($C$12+$C$8*_xlfn.NORM.S.INV(RAND()))</f>
        <v/>
      </c>
    </row>
    <row r="5626">
      <c r="F5626">
        <f>F5625+1</f>
        <v/>
      </c>
      <c r="G5626" s="92">
        <f>EXP($C$12+$C$8*_xlfn.NORM.S.INV(RAND()))</f>
        <v/>
      </c>
    </row>
    <row r="5627">
      <c r="F5627">
        <f>F5626+1</f>
        <v/>
      </c>
      <c r="G5627" s="92">
        <f>EXP($C$12+$C$8*_xlfn.NORM.S.INV(RAND()))</f>
        <v/>
      </c>
    </row>
    <row r="5628">
      <c r="F5628">
        <f>F5627+1</f>
        <v/>
      </c>
      <c r="G5628" s="92">
        <f>EXP($C$12+$C$8*_xlfn.NORM.S.INV(RAND()))</f>
        <v/>
      </c>
    </row>
    <row r="5629">
      <c r="F5629">
        <f>F5628+1</f>
        <v/>
      </c>
      <c r="G5629" s="92">
        <f>EXP($C$12+$C$8*_xlfn.NORM.S.INV(RAND()))</f>
        <v/>
      </c>
    </row>
    <row r="5630">
      <c r="F5630">
        <f>F5629+1</f>
        <v/>
      </c>
      <c r="G5630" s="92">
        <f>EXP($C$12+$C$8*_xlfn.NORM.S.INV(RAND()))</f>
        <v/>
      </c>
    </row>
    <row r="5631">
      <c r="F5631">
        <f>F5630+1</f>
        <v/>
      </c>
      <c r="G5631" s="92">
        <f>EXP($C$12+$C$8*_xlfn.NORM.S.INV(RAND()))</f>
        <v/>
      </c>
    </row>
    <row r="5632">
      <c r="F5632">
        <f>F5631+1</f>
        <v/>
      </c>
      <c r="G5632" s="92">
        <f>EXP($C$12+$C$8*_xlfn.NORM.S.INV(RAND()))</f>
        <v/>
      </c>
    </row>
    <row r="5633">
      <c r="F5633">
        <f>F5632+1</f>
        <v/>
      </c>
      <c r="G5633" s="92">
        <f>EXP($C$12+$C$8*_xlfn.NORM.S.INV(RAND()))</f>
        <v/>
      </c>
    </row>
    <row r="5634">
      <c r="F5634">
        <f>F5633+1</f>
        <v/>
      </c>
      <c r="G5634" s="92">
        <f>EXP($C$12+$C$8*_xlfn.NORM.S.INV(RAND()))</f>
        <v/>
      </c>
    </row>
    <row r="5635">
      <c r="F5635">
        <f>F5634+1</f>
        <v/>
      </c>
      <c r="G5635" s="92">
        <f>EXP($C$12+$C$8*_xlfn.NORM.S.INV(RAND()))</f>
        <v/>
      </c>
    </row>
    <row r="5636">
      <c r="F5636">
        <f>F5635+1</f>
        <v/>
      </c>
      <c r="G5636" s="92">
        <f>EXP($C$12+$C$8*_xlfn.NORM.S.INV(RAND()))</f>
        <v/>
      </c>
    </row>
    <row r="5637">
      <c r="F5637">
        <f>F5636+1</f>
        <v/>
      </c>
      <c r="G5637" s="92">
        <f>EXP($C$12+$C$8*_xlfn.NORM.S.INV(RAND()))</f>
        <v/>
      </c>
    </row>
    <row r="5638">
      <c r="F5638">
        <f>F5637+1</f>
        <v/>
      </c>
      <c r="G5638" s="92">
        <f>EXP($C$12+$C$8*_xlfn.NORM.S.INV(RAND()))</f>
        <v/>
      </c>
    </row>
    <row r="5639">
      <c r="F5639">
        <f>F5638+1</f>
        <v/>
      </c>
      <c r="G5639" s="92">
        <f>EXP($C$12+$C$8*_xlfn.NORM.S.INV(RAND()))</f>
        <v/>
      </c>
    </row>
    <row r="5640">
      <c r="F5640">
        <f>F5639+1</f>
        <v/>
      </c>
      <c r="G5640" s="92">
        <f>EXP($C$12+$C$8*_xlfn.NORM.S.INV(RAND()))</f>
        <v/>
      </c>
    </row>
    <row r="5641">
      <c r="F5641">
        <f>F5640+1</f>
        <v/>
      </c>
      <c r="G5641" s="92">
        <f>EXP($C$12+$C$8*_xlfn.NORM.S.INV(RAND()))</f>
        <v/>
      </c>
    </row>
    <row r="5642">
      <c r="F5642">
        <f>F5641+1</f>
        <v/>
      </c>
      <c r="G5642" s="92">
        <f>EXP($C$12+$C$8*_xlfn.NORM.S.INV(RAND()))</f>
        <v/>
      </c>
    </row>
    <row r="5643">
      <c r="F5643">
        <f>F5642+1</f>
        <v/>
      </c>
      <c r="G5643" s="92">
        <f>EXP($C$12+$C$8*_xlfn.NORM.S.INV(RAND()))</f>
        <v/>
      </c>
    </row>
    <row r="5644">
      <c r="F5644">
        <f>F5643+1</f>
        <v/>
      </c>
      <c r="G5644" s="92">
        <f>EXP($C$12+$C$8*_xlfn.NORM.S.INV(RAND()))</f>
        <v/>
      </c>
    </row>
    <row r="5645">
      <c r="F5645">
        <f>F5644+1</f>
        <v/>
      </c>
      <c r="G5645" s="92">
        <f>EXP($C$12+$C$8*_xlfn.NORM.S.INV(RAND()))</f>
        <v/>
      </c>
    </row>
    <row r="5646">
      <c r="F5646">
        <f>F5645+1</f>
        <v/>
      </c>
      <c r="G5646" s="92">
        <f>EXP($C$12+$C$8*_xlfn.NORM.S.INV(RAND()))</f>
        <v/>
      </c>
    </row>
    <row r="5647">
      <c r="F5647">
        <f>F5646+1</f>
        <v/>
      </c>
      <c r="G5647" s="92">
        <f>EXP($C$12+$C$8*_xlfn.NORM.S.INV(RAND()))</f>
        <v/>
      </c>
    </row>
    <row r="5648">
      <c r="F5648">
        <f>F5647+1</f>
        <v/>
      </c>
      <c r="G5648" s="92">
        <f>EXP($C$12+$C$8*_xlfn.NORM.S.INV(RAND()))</f>
        <v/>
      </c>
    </row>
    <row r="5649">
      <c r="F5649">
        <f>F5648+1</f>
        <v/>
      </c>
      <c r="G5649" s="92">
        <f>EXP($C$12+$C$8*_xlfn.NORM.S.INV(RAND()))</f>
        <v/>
      </c>
    </row>
    <row r="5650">
      <c r="F5650">
        <f>F5649+1</f>
        <v/>
      </c>
      <c r="G5650" s="92">
        <f>EXP($C$12+$C$8*_xlfn.NORM.S.INV(RAND()))</f>
        <v/>
      </c>
    </row>
    <row r="5651">
      <c r="F5651">
        <f>F5650+1</f>
        <v/>
      </c>
      <c r="G5651" s="92">
        <f>EXP($C$12+$C$8*_xlfn.NORM.S.INV(RAND()))</f>
        <v/>
      </c>
    </row>
    <row r="5652">
      <c r="F5652">
        <f>F5651+1</f>
        <v/>
      </c>
      <c r="G5652" s="92">
        <f>EXP($C$12+$C$8*_xlfn.NORM.S.INV(RAND()))</f>
        <v/>
      </c>
    </row>
    <row r="5653">
      <c r="F5653">
        <f>F5652+1</f>
        <v/>
      </c>
      <c r="G5653" s="92">
        <f>EXP($C$12+$C$8*_xlfn.NORM.S.INV(RAND()))</f>
        <v/>
      </c>
    </row>
    <row r="5654">
      <c r="F5654">
        <f>F5653+1</f>
        <v/>
      </c>
      <c r="G5654" s="92">
        <f>EXP($C$12+$C$8*_xlfn.NORM.S.INV(RAND()))</f>
        <v/>
      </c>
    </row>
    <row r="5655">
      <c r="F5655">
        <f>F5654+1</f>
        <v/>
      </c>
      <c r="G5655" s="92">
        <f>EXP($C$12+$C$8*_xlfn.NORM.S.INV(RAND()))</f>
        <v/>
      </c>
    </row>
    <row r="5656">
      <c r="F5656">
        <f>F5655+1</f>
        <v/>
      </c>
      <c r="G5656" s="92">
        <f>EXP($C$12+$C$8*_xlfn.NORM.S.INV(RAND()))</f>
        <v/>
      </c>
    </row>
    <row r="5657">
      <c r="F5657">
        <f>F5656+1</f>
        <v/>
      </c>
      <c r="G5657" s="92">
        <f>EXP($C$12+$C$8*_xlfn.NORM.S.INV(RAND()))</f>
        <v/>
      </c>
    </row>
    <row r="5658">
      <c r="F5658">
        <f>F5657+1</f>
        <v/>
      </c>
      <c r="G5658" s="92">
        <f>EXP($C$12+$C$8*_xlfn.NORM.S.INV(RAND()))</f>
        <v/>
      </c>
    </row>
    <row r="5659">
      <c r="F5659">
        <f>F5658+1</f>
        <v/>
      </c>
      <c r="G5659" s="92">
        <f>EXP($C$12+$C$8*_xlfn.NORM.S.INV(RAND()))</f>
        <v/>
      </c>
    </row>
    <row r="5660">
      <c r="F5660">
        <f>F5659+1</f>
        <v/>
      </c>
      <c r="G5660" s="92">
        <f>EXP($C$12+$C$8*_xlfn.NORM.S.INV(RAND()))</f>
        <v/>
      </c>
    </row>
    <row r="5661">
      <c r="F5661">
        <f>F5660+1</f>
        <v/>
      </c>
      <c r="G5661" s="92">
        <f>EXP($C$12+$C$8*_xlfn.NORM.S.INV(RAND()))</f>
        <v/>
      </c>
    </row>
    <row r="5662">
      <c r="F5662">
        <f>F5661+1</f>
        <v/>
      </c>
      <c r="G5662" s="92">
        <f>EXP($C$12+$C$8*_xlfn.NORM.S.INV(RAND()))</f>
        <v/>
      </c>
    </row>
    <row r="5663">
      <c r="F5663">
        <f>F5662+1</f>
        <v/>
      </c>
      <c r="G5663" s="92">
        <f>EXP($C$12+$C$8*_xlfn.NORM.S.INV(RAND()))</f>
        <v/>
      </c>
    </row>
    <row r="5664">
      <c r="F5664">
        <f>F5663+1</f>
        <v/>
      </c>
      <c r="G5664" s="92">
        <f>EXP($C$12+$C$8*_xlfn.NORM.S.INV(RAND()))</f>
        <v/>
      </c>
    </row>
    <row r="5665">
      <c r="F5665">
        <f>F5664+1</f>
        <v/>
      </c>
      <c r="G5665" s="92">
        <f>EXP($C$12+$C$8*_xlfn.NORM.S.INV(RAND()))</f>
        <v/>
      </c>
    </row>
    <row r="5666">
      <c r="F5666">
        <f>F5665+1</f>
        <v/>
      </c>
      <c r="G5666" s="92">
        <f>EXP($C$12+$C$8*_xlfn.NORM.S.INV(RAND()))</f>
        <v/>
      </c>
    </row>
    <row r="5667">
      <c r="F5667">
        <f>F5666+1</f>
        <v/>
      </c>
      <c r="G5667" s="92">
        <f>EXP($C$12+$C$8*_xlfn.NORM.S.INV(RAND()))</f>
        <v/>
      </c>
    </row>
    <row r="5668">
      <c r="F5668">
        <f>F5667+1</f>
        <v/>
      </c>
      <c r="G5668" s="92">
        <f>EXP($C$12+$C$8*_xlfn.NORM.S.INV(RAND()))</f>
        <v/>
      </c>
    </row>
    <row r="5669">
      <c r="F5669">
        <f>F5668+1</f>
        <v/>
      </c>
      <c r="G5669" s="92">
        <f>EXP($C$12+$C$8*_xlfn.NORM.S.INV(RAND()))</f>
        <v/>
      </c>
    </row>
    <row r="5670">
      <c r="F5670">
        <f>F5669+1</f>
        <v/>
      </c>
      <c r="G5670" s="92">
        <f>EXP($C$12+$C$8*_xlfn.NORM.S.INV(RAND()))</f>
        <v/>
      </c>
    </row>
    <row r="5671">
      <c r="F5671">
        <f>F5670+1</f>
        <v/>
      </c>
      <c r="G5671" s="92">
        <f>EXP($C$12+$C$8*_xlfn.NORM.S.INV(RAND()))</f>
        <v/>
      </c>
    </row>
    <row r="5672">
      <c r="F5672">
        <f>F5671+1</f>
        <v/>
      </c>
      <c r="G5672" s="92">
        <f>EXP($C$12+$C$8*_xlfn.NORM.S.INV(RAND()))</f>
        <v/>
      </c>
    </row>
    <row r="5673">
      <c r="F5673">
        <f>F5672+1</f>
        <v/>
      </c>
      <c r="G5673" s="92">
        <f>EXP($C$12+$C$8*_xlfn.NORM.S.INV(RAND()))</f>
        <v/>
      </c>
    </row>
    <row r="5674">
      <c r="F5674">
        <f>F5673+1</f>
        <v/>
      </c>
      <c r="G5674" s="92">
        <f>EXP($C$12+$C$8*_xlfn.NORM.S.INV(RAND()))</f>
        <v/>
      </c>
    </row>
    <row r="5675">
      <c r="F5675">
        <f>F5674+1</f>
        <v/>
      </c>
      <c r="G5675" s="92">
        <f>EXP($C$12+$C$8*_xlfn.NORM.S.INV(RAND()))</f>
        <v/>
      </c>
    </row>
    <row r="5676">
      <c r="F5676">
        <f>F5675+1</f>
        <v/>
      </c>
      <c r="G5676" s="92">
        <f>EXP($C$12+$C$8*_xlfn.NORM.S.INV(RAND()))</f>
        <v/>
      </c>
    </row>
    <row r="5677">
      <c r="F5677">
        <f>F5676+1</f>
        <v/>
      </c>
      <c r="G5677" s="92">
        <f>EXP($C$12+$C$8*_xlfn.NORM.S.INV(RAND()))</f>
        <v/>
      </c>
    </row>
    <row r="5678">
      <c r="F5678">
        <f>F5677+1</f>
        <v/>
      </c>
      <c r="G5678" s="92">
        <f>EXP($C$12+$C$8*_xlfn.NORM.S.INV(RAND()))</f>
        <v/>
      </c>
    </row>
    <row r="5679">
      <c r="F5679">
        <f>F5678+1</f>
        <v/>
      </c>
      <c r="G5679" s="92">
        <f>EXP($C$12+$C$8*_xlfn.NORM.S.INV(RAND()))</f>
        <v/>
      </c>
    </row>
    <row r="5680">
      <c r="F5680">
        <f>F5679+1</f>
        <v/>
      </c>
      <c r="G5680" s="92">
        <f>EXP($C$12+$C$8*_xlfn.NORM.S.INV(RAND()))</f>
        <v/>
      </c>
    </row>
    <row r="5681">
      <c r="F5681">
        <f>F5680+1</f>
        <v/>
      </c>
      <c r="G5681" s="92">
        <f>EXP($C$12+$C$8*_xlfn.NORM.S.INV(RAND()))</f>
        <v/>
      </c>
    </row>
    <row r="5682">
      <c r="F5682">
        <f>F5681+1</f>
        <v/>
      </c>
      <c r="G5682" s="92">
        <f>EXP($C$12+$C$8*_xlfn.NORM.S.INV(RAND()))</f>
        <v/>
      </c>
    </row>
    <row r="5683">
      <c r="F5683">
        <f>F5682+1</f>
        <v/>
      </c>
      <c r="G5683" s="92">
        <f>EXP($C$12+$C$8*_xlfn.NORM.S.INV(RAND()))</f>
        <v/>
      </c>
    </row>
    <row r="5684">
      <c r="F5684">
        <f>F5683+1</f>
        <v/>
      </c>
      <c r="G5684" s="92">
        <f>EXP($C$12+$C$8*_xlfn.NORM.S.INV(RAND()))</f>
        <v/>
      </c>
    </row>
    <row r="5685">
      <c r="F5685">
        <f>F5684+1</f>
        <v/>
      </c>
      <c r="G5685" s="92">
        <f>EXP($C$12+$C$8*_xlfn.NORM.S.INV(RAND()))</f>
        <v/>
      </c>
    </row>
    <row r="5686">
      <c r="F5686">
        <f>F5685+1</f>
        <v/>
      </c>
      <c r="G5686" s="92">
        <f>EXP($C$12+$C$8*_xlfn.NORM.S.INV(RAND()))</f>
        <v/>
      </c>
    </row>
    <row r="5687">
      <c r="F5687">
        <f>F5686+1</f>
        <v/>
      </c>
      <c r="G5687" s="92">
        <f>EXP($C$12+$C$8*_xlfn.NORM.S.INV(RAND()))</f>
        <v/>
      </c>
    </row>
    <row r="5688">
      <c r="F5688">
        <f>F5687+1</f>
        <v/>
      </c>
      <c r="G5688" s="92">
        <f>EXP($C$12+$C$8*_xlfn.NORM.S.INV(RAND()))</f>
        <v/>
      </c>
    </row>
    <row r="5689">
      <c r="F5689">
        <f>F5688+1</f>
        <v/>
      </c>
      <c r="G5689" s="92">
        <f>EXP($C$12+$C$8*_xlfn.NORM.S.INV(RAND()))</f>
        <v/>
      </c>
    </row>
    <row r="5690">
      <c r="F5690">
        <f>F5689+1</f>
        <v/>
      </c>
      <c r="G5690" s="92">
        <f>EXP($C$12+$C$8*_xlfn.NORM.S.INV(RAND()))</f>
        <v/>
      </c>
    </row>
    <row r="5691">
      <c r="F5691">
        <f>F5690+1</f>
        <v/>
      </c>
      <c r="G5691" s="92">
        <f>EXP($C$12+$C$8*_xlfn.NORM.S.INV(RAND()))</f>
        <v/>
      </c>
    </row>
    <row r="5692">
      <c r="F5692">
        <f>F5691+1</f>
        <v/>
      </c>
      <c r="G5692" s="92">
        <f>EXP($C$12+$C$8*_xlfn.NORM.S.INV(RAND()))</f>
        <v/>
      </c>
    </row>
    <row r="5693">
      <c r="F5693">
        <f>F5692+1</f>
        <v/>
      </c>
      <c r="G5693" s="92">
        <f>EXP($C$12+$C$8*_xlfn.NORM.S.INV(RAND()))</f>
        <v/>
      </c>
    </row>
    <row r="5694">
      <c r="F5694">
        <f>F5693+1</f>
        <v/>
      </c>
      <c r="G5694" s="92">
        <f>EXP($C$12+$C$8*_xlfn.NORM.S.INV(RAND()))</f>
        <v/>
      </c>
    </row>
    <row r="5695">
      <c r="F5695">
        <f>F5694+1</f>
        <v/>
      </c>
      <c r="G5695" s="92">
        <f>EXP($C$12+$C$8*_xlfn.NORM.S.INV(RAND()))</f>
        <v/>
      </c>
    </row>
    <row r="5696">
      <c r="F5696">
        <f>F5695+1</f>
        <v/>
      </c>
      <c r="G5696" s="92">
        <f>EXP($C$12+$C$8*_xlfn.NORM.S.INV(RAND()))</f>
        <v/>
      </c>
    </row>
    <row r="5697">
      <c r="F5697">
        <f>F5696+1</f>
        <v/>
      </c>
      <c r="G5697" s="92">
        <f>EXP($C$12+$C$8*_xlfn.NORM.S.INV(RAND()))</f>
        <v/>
      </c>
    </row>
    <row r="5698">
      <c r="F5698">
        <f>F5697+1</f>
        <v/>
      </c>
      <c r="G5698" s="92">
        <f>EXP($C$12+$C$8*_xlfn.NORM.S.INV(RAND()))</f>
        <v/>
      </c>
    </row>
    <row r="5699">
      <c r="F5699">
        <f>F5698+1</f>
        <v/>
      </c>
      <c r="G5699" s="92">
        <f>EXP($C$12+$C$8*_xlfn.NORM.S.INV(RAND()))</f>
        <v/>
      </c>
    </row>
    <row r="5700">
      <c r="F5700">
        <f>F5699+1</f>
        <v/>
      </c>
      <c r="G5700" s="92">
        <f>EXP($C$12+$C$8*_xlfn.NORM.S.INV(RAND()))</f>
        <v/>
      </c>
    </row>
    <row r="5701">
      <c r="F5701">
        <f>F5700+1</f>
        <v/>
      </c>
      <c r="G5701" s="92">
        <f>EXP($C$12+$C$8*_xlfn.NORM.S.INV(RAND()))</f>
        <v/>
      </c>
    </row>
    <row r="5702">
      <c r="F5702">
        <f>F5701+1</f>
        <v/>
      </c>
      <c r="G5702" s="92">
        <f>EXP($C$12+$C$8*_xlfn.NORM.S.INV(RAND()))</f>
        <v/>
      </c>
    </row>
    <row r="5703">
      <c r="F5703">
        <f>F5702+1</f>
        <v/>
      </c>
      <c r="G5703" s="92">
        <f>EXP($C$12+$C$8*_xlfn.NORM.S.INV(RAND()))</f>
        <v/>
      </c>
    </row>
    <row r="5704">
      <c r="F5704">
        <f>F5703+1</f>
        <v/>
      </c>
      <c r="G5704" s="92">
        <f>EXP($C$12+$C$8*_xlfn.NORM.S.INV(RAND()))</f>
        <v/>
      </c>
    </row>
    <row r="5705">
      <c r="F5705">
        <f>F5704+1</f>
        <v/>
      </c>
      <c r="G5705" s="92">
        <f>EXP($C$12+$C$8*_xlfn.NORM.S.INV(RAND()))</f>
        <v/>
      </c>
    </row>
    <row r="5706">
      <c r="F5706">
        <f>F5705+1</f>
        <v/>
      </c>
      <c r="G5706" s="92">
        <f>EXP($C$12+$C$8*_xlfn.NORM.S.INV(RAND()))</f>
        <v/>
      </c>
    </row>
    <row r="5707">
      <c r="F5707">
        <f>F5706+1</f>
        <v/>
      </c>
      <c r="G5707" s="92">
        <f>EXP($C$12+$C$8*_xlfn.NORM.S.INV(RAND()))</f>
        <v/>
      </c>
    </row>
    <row r="5708">
      <c r="F5708">
        <f>F5707+1</f>
        <v/>
      </c>
      <c r="G5708" s="92">
        <f>EXP($C$12+$C$8*_xlfn.NORM.S.INV(RAND()))</f>
        <v/>
      </c>
    </row>
    <row r="5709">
      <c r="F5709">
        <f>F5708+1</f>
        <v/>
      </c>
      <c r="G5709" s="92">
        <f>EXP($C$12+$C$8*_xlfn.NORM.S.INV(RAND()))</f>
        <v/>
      </c>
    </row>
    <row r="5710">
      <c r="F5710">
        <f>F5709+1</f>
        <v/>
      </c>
      <c r="G5710" s="92">
        <f>EXP($C$12+$C$8*_xlfn.NORM.S.INV(RAND()))</f>
        <v/>
      </c>
    </row>
    <row r="5711">
      <c r="F5711">
        <f>F5710+1</f>
        <v/>
      </c>
      <c r="G5711" s="92">
        <f>EXP($C$12+$C$8*_xlfn.NORM.S.INV(RAND()))</f>
        <v/>
      </c>
    </row>
    <row r="5712">
      <c r="F5712">
        <f>F5711+1</f>
        <v/>
      </c>
      <c r="G5712" s="92">
        <f>EXP($C$12+$C$8*_xlfn.NORM.S.INV(RAND()))</f>
        <v/>
      </c>
    </row>
    <row r="5713">
      <c r="F5713">
        <f>F5712+1</f>
        <v/>
      </c>
      <c r="G5713" s="92">
        <f>EXP($C$12+$C$8*_xlfn.NORM.S.INV(RAND()))</f>
        <v/>
      </c>
    </row>
    <row r="5714">
      <c r="F5714">
        <f>F5713+1</f>
        <v/>
      </c>
      <c r="G5714" s="92">
        <f>EXP($C$12+$C$8*_xlfn.NORM.S.INV(RAND()))</f>
        <v/>
      </c>
    </row>
    <row r="5715">
      <c r="F5715">
        <f>F5714+1</f>
        <v/>
      </c>
      <c r="G5715" s="92">
        <f>EXP($C$12+$C$8*_xlfn.NORM.S.INV(RAND()))</f>
        <v/>
      </c>
    </row>
    <row r="5716">
      <c r="F5716">
        <f>F5715+1</f>
        <v/>
      </c>
      <c r="G5716" s="92">
        <f>EXP($C$12+$C$8*_xlfn.NORM.S.INV(RAND()))</f>
        <v/>
      </c>
    </row>
    <row r="5717">
      <c r="F5717">
        <f>F5716+1</f>
        <v/>
      </c>
      <c r="G5717" s="92">
        <f>EXP($C$12+$C$8*_xlfn.NORM.S.INV(RAND()))</f>
        <v/>
      </c>
    </row>
    <row r="5718">
      <c r="F5718">
        <f>F5717+1</f>
        <v/>
      </c>
      <c r="G5718" s="92">
        <f>EXP($C$12+$C$8*_xlfn.NORM.S.INV(RAND()))</f>
        <v/>
      </c>
    </row>
    <row r="5719">
      <c r="F5719">
        <f>F5718+1</f>
        <v/>
      </c>
      <c r="G5719" s="92">
        <f>EXP($C$12+$C$8*_xlfn.NORM.S.INV(RAND()))</f>
        <v/>
      </c>
    </row>
    <row r="5720">
      <c r="F5720">
        <f>F5719+1</f>
        <v/>
      </c>
      <c r="G5720" s="92">
        <f>EXP($C$12+$C$8*_xlfn.NORM.S.INV(RAND()))</f>
        <v/>
      </c>
    </row>
    <row r="5721">
      <c r="F5721">
        <f>F5720+1</f>
        <v/>
      </c>
      <c r="G5721" s="92">
        <f>EXP($C$12+$C$8*_xlfn.NORM.S.INV(RAND()))</f>
        <v/>
      </c>
    </row>
    <row r="5722">
      <c r="F5722">
        <f>F5721+1</f>
        <v/>
      </c>
      <c r="G5722" s="92">
        <f>EXP($C$12+$C$8*_xlfn.NORM.S.INV(RAND()))</f>
        <v/>
      </c>
    </row>
    <row r="5723">
      <c r="F5723">
        <f>F5722+1</f>
        <v/>
      </c>
      <c r="G5723" s="92">
        <f>EXP($C$12+$C$8*_xlfn.NORM.S.INV(RAND()))</f>
        <v/>
      </c>
    </row>
    <row r="5724">
      <c r="F5724">
        <f>F5723+1</f>
        <v/>
      </c>
      <c r="G5724" s="92">
        <f>EXP($C$12+$C$8*_xlfn.NORM.S.INV(RAND()))</f>
        <v/>
      </c>
    </row>
    <row r="5725">
      <c r="F5725">
        <f>F5724+1</f>
        <v/>
      </c>
      <c r="G5725" s="92">
        <f>EXP($C$12+$C$8*_xlfn.NORM.S.INV(RAND()))</f>
        <v/>
      </c>
    </row>
    <row r="5726">
      <c r="F5726">
        <f>F5725+1</f>
        <v/>
      </c>
      <c r="G5726" s="92">
        <f>EXP($C$12+$C$8*_xlfn.NORM.S.INV(RAND()))</f>
        <v/>
      </c>
    </row>
    <row r="5727">
      <c r="F5727">
        <f>F5726+1</f>
        <v/>
      </c>
      <c r="G5727" s="92">
        <f>EXP($C$12+$C$8*_xlfn.NORM.S.INV(RAND()))</f>
        <v/>
      </c>
    </row>
    <row r="5728">
      <c r="F5728">
        <f>F5727+1</f>
        <v/>
      </c>
      <c r="G5728" s="92">
        <f>EXP($C$12+$C$8*_xlfn.NORM.S.INV(RAND()))</f>
        <v/>
      </c>
    </row>
    <row r="5729">
      <c r="F5729">
        <f>F5728+1</f>
        <v/>
      </c>
      <c r="G5729" s="92">
        <f>EXP($C$12+$C$8*_xlfn.NORM.S.INV(RAND()))</f>
        <v/>
      </c>
    </row>
    <row r="5730">
      <c r="F5730">
        <f>F5729+1</f>
        <v/>
      </c>
      <c r="G5730" s="92">
        <f>EXP($C$12+$C$8*_xlfn.NORM.S.INV(RAND()))</f>
        <v/>
      </c>
    </row>
    <row r="5731">
      <c r="F5731">
        <f>F5730+1</f>
        <v/>
      </c>
      <c r="G5731" s="92">
        <f>EXP($C$12+$C$8*_xlfn.NORM.S.INV(RAND()))</f>
        <v/>
      </c>
    </row>
    <row r="5732">
      <c r="F5732">
        <f>F5731+1</f>
        <v/>
      </c>
      <c r="G5732" s="92">
        <f>EXP($C$12+$C$8*_xlfn.NORM.S.INV(RAND()))</f>
        <v/>
      </c>
    </row>
    <row r="5733">
      <c r="F5733">
        <f>F5732+1</f>
        <v/>
      </c>
      <c r="G5733" s="92">
        <f>EXP($C$12+$C$8*_xlfn.NORM.S.INV(RAND()))</f>
        <v/>
      </c>
    </row>
    <row r="5734">
      <c r="F5734">
        <f>F5733+1</f>
        <v/>
      </c>
      <c r="G5734" s="92">
        <f>EXP($C$12+$C$8*_xlfn.NORM.S.INV(RAND()))</f>
        <v/>
      </c>
    </row>
    <row r="5735">
      <c r="F5735">
        <f>F5734+1</f>
        <v/>
      </c>
      <c r="G5735" s="92">
        <f>EXP($C$12+$C$8*_xlfn.NORM.S.INV(RAND()))</f>
        <v/>
      </c>
    </row>
    <row r="5736">
      <c r="F5736">
        <f>F5735+1</f>
        <v/>
      </c>
      <c r="G5736" s="92">
        <f>EXP($C$12+$C$8*_xlfn.NORM.S.INV(RAND()))</f>
        <v/>
      </c>
    </row>
    <row r="5737">
      <c r="F5737">
        <f>F5736+1</f>
        <v/>
      </c>
      <c r="G5737" s="92">
        <f>EXP($C$12+$C$8*_xlfn.NORM.S.INV(RAND()))</f>
        <v/>
      </c>
    </row>
    <row r="5738">
      <c r="F5738">
        <f>F5737+1</f>
        <v/>
      </c>
      <c r="G5738" s="92">
        <f>EXP($C$12+$C$8*_xlfn.NORM.S.INV(RAND()))</f>
        <v/>
      </c>
    </row>
    <row r="5739">
      <c r="F5739">
        <f>F5738+1</f>
        <v/>
      </c>
      <c r="G5739" s="92">
        <f>EXP($C$12+$C$8*_xlfn.NORM.S.INV(RAND()))</f>
        <v/>
      </c>
    </row>
    <row r="5740">
      <c r="F5740">
        <f>F5739+1</f>
        <v/>
      </c>
      <c r="G5740" s="92">
        <f>EXP($C$12+$C$8*_xlfn.NORM.S.INV(RAND()))</f>
        <v/>
      </c>
    </row>
    <row r="5741">
      <c r="F5741">
        <f>F5740+1</f>
        <v/>
      </c>
      <c r="G5741" s="92">
        <f>EXP($C$12+$C$8*_xlfn.NORM.S.INV(RAND()))</f>
        <v/>
      </c>
    </row>
    <row r="5742">
      <c r="F5742">
        <f>F5741+1</f>
        <v/>
      </c>
      <c r="G5742" s="92">
        <f>EXP($C$12+$C$8*_xlfn.NORM.S.INV(RAND()))</f>
        <v/>
      </c>
    </row>
    <row r="5743">
      <c r="F5743">
        <f>F5742+1</f>
        <v/>
      </c>
      <c r="G5743" s="92">
        <f>EXP($C$12+$C$8*_xlfn.NORM.S.INV(RAND()))</f>
        <v/>
      </c>
    </row>
    <row r="5744">
      <c r="F5744">
        <f>F5743+1</f>
        <v/>
      </c>
      <c r="G5744" s="92">
        <f>EXP($C$12+$C$8*_xlfn.NORM.S.INV(RAND()))</f>
        <v/>
      </c>
    </row>
    <row r="5745">
      <c r="F5745">
        <f>F5744+1</f>
        <v/>
      </c>
      <c r="G5745" s="92">
        <f>EXP($C$12+$C$8*_xlfn.NORM.S.INV(RAND()))</f>
        <v/>
      </c>
    </row>
    <row r="5746">
      <c r="F5746">
        <f>F5745+1</f>
        <v/>
      </c>
      <c r="G5746" s="92">
        <f>EXP($C$12+$C$8*_xlfn.NORM.S.INV(RAND()))</f>
        <v/>
      </c>
    </row>
    <row r="5747">
      <c r="F5747">
        <f>F5746+1</f>
        <v/>
      </c>
      <c r="G5747" s="92">
        <f>EXP($C$12+$C$8*_xlfn.NORM.S.INV(RAND()))</f>
        <v/>
      </c>
    </row>
    <row r="5748">
      <c r="F5748">
        <f>F5747+1</f>
        <v/>
      </c>
      <c r="G5748" s="92">
        <f>EXP($C$12+$C$8*_xlfn.NORM.S.INV(RAND()))</f>
        <v/>
      </c>
    </row>
    <row r="5749">
      <c r="F5749">
        <f>F5748+1</f>
        <v/>
      </c>
      <c r="G5749" s="92">
        <f>EXP($C$12+$C$8*_xlfn.NORM.S.INV(RAND()))</f>
        <v/>
      </c>
    </row>
    <row r="5750">
      <c r="F5750">
        <f>F5749+1</f>
        <v/>
      </c>
      <c r="G5750" s="92">
        <f>EXP($C$12+$C$8*_xlfn.NORM.S.INV(RAND()))</f>
        <v/>
      </c>
    </row>
    <row r="5751">
      <c r="F5751">
        <f>F5750+1</f>
        <v/>
      </c>
      <c r="G5751" s="92">
        <f>EXP($C$12+$C$8*_xlfn.NORM.S.INV(RAND()))</f>
        <v/>
      </c>
    </row>
    <row r="5752">
      <c r="F5752">
        <f>F5751+1</f>
        <v/>
      </c>
      <c r="G5752" s="92">
        <f>EXP($C$12+$C$8*_xlfn.NORM.S.INV(RAND()))</f>
        <v/>
      </c>
    </row>
    <row r="5753">
      <c r="F5753">
        <f>F5752+1</f>
        <v/>
      </c>
      <c r="G5753" s="92">
        <f>EXP($C$12+$C$8*_xlfn.NORM.S.INV(RAND()))</f>
        <v/>
      </c>
    </row>
    <row r="5754">
      <c r="F5754">
        <f>F5753+1</f>
        <v/>
      </c>
      <c r="G5754" s="92">
        <f>EXP($C$12+$C$8*_xlfn.NORM.S.INV(RAND()))</f>
        <v/>
      </c>
    </row>
    <row r="5755">
      <c r="F5755">
        <f>F5754+1</f>
        <v/>
      </c>
      <c r="G5755" s="92">
        <f>EXP($C$12+$C$8*_xlfn.NORM.S.INV(RAND()))</f>
        <v/>
      </c>
    </row>
    <row r="5756">
      <c r="F5756">
        <f>F5755+1</f>
        <v/>
      </c>
      <c r="G5756" s="92">
        <f>EXP($C$12+$C$8*_xlfn.NORM.S.INV(RAND()))</f>
        <v/>
      </c>
    </row>
    <row r="5757">
      <c r="F5757">
        <f>F5756+1</f>
        <v/>
      </c>
      <c r="G5757" s="92">
        <f>EXP($C$12+$C$8*_xlfn.NORM.S.INV(RAND()))</f>
        <v/>
      </c>
    </row>
    <row r="5758">
      <c r="F5758">
        <f>F5757+1</f>
        <v/>
      </c>
      <c r="G5758" s="92">
        <f>EXP($C$12+$C$8*_xlfn.NORM.S.INV(RAND()))</f>
        <v/>
      </c>
    </row>
    <row r="5759">
      <c r="F5759">
        <f>F5758+1</f>
        <v/>
      </c>
      <c r="G5759" s="92">
        <f>EXP($C$12+$C$8*_xlfn.NORM.S.INV(RAND()))</f>
        <v/>
      </c>
    </row>
    <row r="5760">
      <c r="F5760">
        <f>F5759+1</f>
        <v/>
      </c>
      <c r="G5760" s="92">
        <f>EXP($C$12+$C$8*_xlfn.NORM.S.INV(RAND()))</f>
        <v/>
      </c>
    </row>
    <row r="5761">
      <c r="F5761">
        <f>F5760+1</f>
        <v/>
      </c>
      <c r="G5761" s="92">
        <f>EXP($C$12+$C$8*_xlfn.NORM.S.INV(RAND()))</f>
        <v/>
      </c>
    </row>
    <row r="5762">
      <c r="F5762">
        <f>F5761+1</f>
        <v/>
      </c>
      <c r="G5762" s="92">
        <f>EXP($C$12+$C$8*_xlfn.NORM.S.INV(RAND()))</f>
        <v/>
      </c>
    </row>
    <row r="5763">
      <c r="F5763">
        <f>F5762+1</f>
        <v/>
      </c>
      <c r="G5763" s="92">
        <f>EXP($C$12+$C$8*_xlfn.NORM.S.INV(RAND()))</f>
        <v/>
      </c>
    </row>
    <row r="5764">
      <c r="F5764">
        <f>F5763+1</f>
        <v/>
      </c>
      <c r="G5764" s="92">
        <f>EXP($C$12+$C$8*_xlfn.NORM.S.INV(RAND()))</f>
        <v/>
      </c>
    </row>
    <row r="5765">
      <c r="F5765">
        <f>F5764+1</f>
        <v/>
      </c>
      <c r="G5765" s="92">
        <f>EXP($C$12+$C$8*_xlfn.NORM.S.INV(RAND()))</f>
        <v/>
      </c>
    </row>
    <row r="5766">
      <c r="F5766">
        <f>F5765+1</f>
        <v/>
      </c>
      <c r="G5766" s="92">
        <f>EXP($C$12+$C$8*_xlfn.NORM.S.INV(RAND()))</f>
        <v/>
      </c>
    </row>
    <row r="5767">
      <c r="F5767">
        <f>F5766+1</f>
        <v/>
      </c>
      <c r="G5767" s="92">
        <f>EXP($C$12+$C$8*_xlfn.NORM.S.INV(RAND()))</f>
        <v/>
      </c>
    </row>
    <row r="5768">
      <c r="F5768">
        <f>F5767+1</f>
        <v/>
      </c>
      <c r="G5768" s="92">
        <f>EXP($C$12+$C$8*_xlfn.NORM.S.INV(RAND()))</f>
        <v/>
      </c>
    </row>
    <row r="5769">
      <c r="F5769">
        <f>F5768+1</f>
        <v/>
      </c>
      <c r="G5769" s="92">
        <f>EXP($C$12+$C$8*_xlfn.NORM.S.INV(RAND()))</f>
        <v/>
      </c>
    </row>
    <row r="5770">
      <c r="F5770">
        <f>F5769+1</f>
        <v/>
      </c>
      <c r="G5770" s="92">
        <f>EXP($C$12+$C$8*_xlfn.NORM.S.INV(RAND()))</f>
        <v/>
      </c>
    </row>
    <row r="5771">
      <c r="F5771">
        <f>F5770+1</f>
        <v/>
      </c>
      <c r="G5771" s="92">
        <f>EXP($C$12+$C$8*_xlfn.NORM.S.INV(RAND()))</f>
        <v/>
      </c>
    </row>
    <row r="5772">
      <c r="F5772">
        <f>F5771+1</f>
        <v/>
      </c>
      <c r="G5772" s="92">
        <f>EXP($C$12+$C$8*_xlfn.NORM.S.INV(RAND()))</f>
        <v/>
      </c>
    </row>
    <row r="5773">
      <c r="F5773">
        <f>F5772+1</f>
        <v/>
      </c>
      <c r="G5773" s="92">
        <f>EXP($C$12+$C$8*_xlfn.NORM.S.INV(RAND()))</f>
        <v/>
      </c>
    </row>
    <row r="5774">
      <c r="F5774">
        <f>F5773+1</f>
        <v/>
      </c>
      <c r="G5774" s="92">
        <f>EXP($C$12+$C$8*_xlfn.NORM.S.INV(RAND()))</f>
        <v/>
      </c>
    </row>
    <row r="5775">
      <c r="F5775">
        <f>F5774+1</f>
        <v/>
      </c>
      <c r="G5775" s="92">
        <f>EXP($C$12+$C$8*_xlfn.NORM.S.INV(RAND()))</f>
        <v/>
      </c>
    </row>
    <row r="5776">
      <c r="F5776">
        <f>F5775+1</f>
        <v/>
      </c>
      <c r="G5776" s="92">
        <f>EXP($C$12+$C$8*_xlfn.NORM.S.INV(RAND()))</f>
        <v/>
      </c>
    </row>
    <row r="5777">
      <c r="F5777">
        <f>F5776+1</f>
        <v/>
      </c>
      <c r="G5777" s="92">
        <f>EXP($C$12+$C$8*_xlfn.NORM.S.INV(RAND()))</f>
        <v/>
      </c>
    </row>
    <row r="5778">
      <c r="F5778">
        <f>F5777+1</f>
        <v/>
      </c>
      <c r="G5778" s="92">
        <f>EXP($C$12+$C$8*_xlfn.NORM.S.INV(RAND()))</f>
        <v/>
      </c>
    </row>
    <row r="5779">
      <c r="F5779">
        <f>F5778+1</f>
        <v/>
      </c>
      <c r="G5779" s="92">
        <f>EXP($C$12+$C$8*_xlfn.NORM.S.INV(RAND()))</f>
        <v/>
      </c>
    </row>
    <row r="5780">
      <c r="F5780">
        <f>F5779+1</f>
        <v/>
      </c>
      <c r="G5780" s="92">
        <f>EXP($C$12+$C$8*_xlfn.NORM.S.INV(RAND()))</f>
        <v/>
      </c>
    </row>
    <row r="5781">
      <c r="F5781">
        <f>F5780+1</f>
        <v/>
      </c>
      <c r="G5781" s="92">
        <f>EXP($C$12+$C$8*_xlfn.NORM.S.INV(RAND()))</f>
        <v/>
      </c>
    </row>
    <row r="5782">
      <c r="F5782">
        <f>F5781+1</f>
        <v/>
      </c>
      <c r="G5782" s="92">
        <f>EXP($C$12+$C$8*_xlfn.NORM.S.INV(RAND()))</f>
        <v/>
      </c>
    </row>
    <row r="5783">
      <c r="F5783">
        <f>F5782+1</f>
        <v/>
      </c>
      <c r="G5783" s="92">
        <f>EXP($C$12+$C$8*_xlfn.NORM.S.INV(RAND()))</f>
        <v/>
      </c>
    </row>
    <row r="5784">
      <c r="F5784">
        <f>F5783+1</f>
        <v/>
      </c>
      <c r="G5784" s="92">
        <f>EXP($C$12+$C$8*_xlfn.NORM.S.INV(RAND()))</f>
        <v/>
      </c>
    </row>
    <row r="5785">
      <c r="F5785">
        <f>F5784+1</f>
        <v/>
      </c>
      <c r="G5785" s="92">
        <f>EXP($C$12+$C$8*_xlfn.NORM.S.INV(RAND()))</f>
        <v/>
      </c>
    </row>
    <row r="5786">
      <c r="F5786">
        <f>F5785+1</f>
        <v/>
      </c>
      <c r="G5786" s="92">
        <f>EXP($C$12+$C$8*_xlfn.NORM.S.INV(RAND()))</f>
        <v/>
      </c>
    </row>
    <row r="5787">
      <c r="F5787">
        <f>F5786+1</f>
        <v/>
      </c>
      <c r="G5787" s="92">
        <f>EXP($C$12+$C$8*_xlfn.NORM.S.INV(RAND()))</f>
        <v/>
      </c>
    </row>
    <row r="5788">
      <c r="F5788">
        <f>F5787+1</f>
        <v/>
      </c>
      <c r="G5788" s="92">
        <f>EXP($C$12+$C$8*_xlfn.NORM.S.INV(RAND()))</f>
        <v/>
      </c>
    </row>
    <row r="5789">
      <c r="F5789">
        <f>F5788+1</f>
        <v/>
      </c>
      <c r="G5789" s="92">
        <f>EXP($C$12+$C$8*_xlfn.NORM.S.INV(RAND()))</f>
        <v/>
      </c>
    </row>
    <row r="5790">
      <c r="F5790">
        <f>F5789+1</f>
        <v/>
      </c>
      <c r="G5790" s="92">
        <f>EXP($C$12+$C$8*_xlfn.NORM.S.INV(RAND()))</f>
        <v/>
      </c>
    </row>
    <row r="5791">
      <c r="F5791">
        <f>F5790+1</f>
        <v/>
      </c>
      <c r="G5791" s="92">
        <f>EXP($C$12+$C$8*_xlfn.NORM.S.INV(RAND()))</f>
        <v/>
      </c>
    </row>
    <row r="5792">
      <c r="F5792">
        <f>F5791+1</f>
        <v/>
      </c>
      <c r="G5792" s="92">
        <f>EXP($C$12+$C$8*_xlfn.NORM.S.INV(RAND()))</f>
        <v/>
      </c>
    </row>
    <row r="5793">
      <c r="F5793">
        <f>F5792+1</f>
        <v/>
      </c>
      <c r="G5793" s="92">
        <f>EXP($C$12+$C$8*_xlfn.NORM.S.INV(RAND()))</f>
        <v/>
      </c>
    </row>
    <row r="5794">
      <c r="F5794">
        <f>F5793+1</f>
        <v/>
      </c>
      <c r="G5794" s="92">
        <f>EXP($C$12+$C$8*_xlfn.NORM.S.INV(RAND()))</f>
        <v/>
      </c>
    </row>
    <row r="5795">
      <c r="F5795">
        <f>F5794+1</f>
        <v/>
      </c>
      <c r="G5795" s="92">
        <f>EXP($C$12+$C$8*_xlfn.NORM.S.INV(RAND()))</f>
        <v/>
      </c>
    </row>
    <row r="5796">
      <c r="F5796">
        <f>F5795+1</f>
        <v/>
      </c>
      <c r="G5796" s="92">
        <f>EXP($C$12+$C$8*_xlfn.NORM.S.INV(RAND()))</f>
        <v/>
      </c>
    </row>
    <row r="5797">
      <c r="F5797">
        <f>F5796+1</f>
        <v/>
      </c>
      <c r="G5797" s="92">
        <f>EXP($C$12+$C$8*_xlfn.NORM.S.INV(RAND()))</f>
        <v/>
      </c>
    </row>
    <row r="5798">
      <c r="F5798">
        <f>F5797+1</f>
        <v/>
      </c>
      <c r="G5798" s="92">
        <f>EXP($C$12+$C$8*_xlfn.NORM.S.INV(RAND()))</f>
        <v/>
      </c>
    </row>
    <row r="5799">
      <c r="F5799">
        <f>F5798+1</f>
        <v/>
      </c>
      <c r="G5799" s="92">
        <f>EXP($C$12+$C$8*_xlfn.NORM.S.INV(RAND()))</f>
        <v/>
      </c>
    </row>
    <row r="5800">
      <c r="F5800">
        <f>F5799+1</f>
        <v/>
      </c>
      <c r="G5800" s="92">
        <f>EXP($C$12+$C$8*_xlfn.NORM.S.INV(RAND()))</f>
        <v/>
      </c>
    </row>
    <row r="5801">
      <c r="F5801">
        <f>F5800+1</f>
        <v/>
      </c>
      <c r="G5801" s="92">
        <f>EXP($C$12+$C$8*_xlfn.NORM.S.INV(RAND()))</f>
        <v/>
      </c>
    </row>
    <row r="5802">
      <c r="F5802">
        <f>F5801+1</f>
        <v/>
      </c>
      <c r="G5802" s="92">
        <f>EXP($C$12+$C$8*_xlfn.NORM.S.INV(RAND()))</f>
        <v/>
      </c>
    </row>
    <row r="5803">
      <c r="F5803">
        <f>F5802+1</f>
        <v/>
      </c>
      <c r="G5803" s="92">
        <f>EXP($C$12+$C$8*_xlfn.NORM.S.INV(RAND()))</f>
        <v/>
      </c>
    </row>
    <row r="5804">
      <c r="F5804">
        <f>F5803+1</f>
        <v/>
      </c>
      <c r="G5804" s="92">
        <f>EXP($C$12+$C$8*_xlfn.NORM.S.INV(RAND()))</f>
        <v/>
      </c>
    </row>
    <row r="5805">
      <c r="F5805">
        <f>F5804+1</f>
        <v/>
      </c>
      <c r="G5805" s="92">
        <f>EXP($C$12+$C$8*_xlfn.NORM.S.INV(RAND()))</f>
        <v/>
      </c>
    </row>
    <row r="5806">
      <c r="F5806">
        <f>F5805+1</f>
        <v/>
      </c>
      <c r="G5806" s="92">
        <f>EXP($C$12+$C$8*_xlfn.NORM.S.INV(RAND()))</f>
        <v/>
      </c>
    </row>
    <row r="5807">
      <c r="F5807">
        <f>F5806+1</f>
        <v/>
      </c>
      <c r="G5807" s="92">
        <f>EXP($C$12+$C$8*_xlfn.NORM.S.INV(RAND()))</f>
        <v/>
      </c>
    </row>
    <row r="5808">
      <c r="F5808">
        <f>F5807+1</f>
        <v/>
      </c>
      <c r="G5808" s="92">
        <f>EXP($C$12+$C$8*_xlfn.NORM.S.INV(RAND()))</f>
        <v/>
      </c>
    </row>
    <row r="5809">
      <c r="F5809">
        <f>F5808+1</f>
        <v/>
      </c>
      <c r="G5809" s="92">
        <f>EXP($C$12+$C$8*_xlfn.NORM.S.INV(RAND()))</f>
        <v/>
      </c>
    </row>
    <row r="5810">
      <c r="F5810">
        <f>F5809+1</f>
        <v/>
      </c>
      <c r="G5810" s="92">
        <f>EXP($C$12+$C$8*_xlfn.NORM.S.INV(RAND()))</f>
        <v/>
      </c>
    </row>
    <row r="5811">
      <c r="F5811">
        <f>F5810+1</f>
        <v/>
      </c>
      <c r="G5811" s="92">
        <f>EXP($C$12+$C$8*_xlfn.NORM.S.INV(RAND()))</f>
        <v/>
      </c>
    </row>
    <row r="5812">
      <c r="F5812">
        <f>F5811+1</f>
        <v/>
      </c>
      <c r="G5812" s="92">
        <f>EXP($C$12+$C$8*_xlfn.NORM.S.INV(RAND()))</f>
        <v/>
      </c>
    </row>
    <row r="5813">
      <c r="F5813">
        <f>F5812+1</f>
        <v/>
      </c>
      <c r="G5813" s="92">
        <f>EXP($C$12+$C$8*_xlfn.NORM.S.INV(RAND()))</f>
        <v/>
      </c>
    </row>
    <row r="5814">
      <c r="F5814">
        <f>F5813+1</f>
        <v/>
      </c>
      <c r="G5814" s="92">
        <f>EXP($C$12+$C$8*_xlfn.NORM.S.INV(RAND()))</f>
        <v/>
      </c>
    </row>
    <row r="5815">
      <c r="F5815">
        <f>F5814+1</f>
        <v/>
      </c>
      <c r="G5815" s="92">
        <f>EXP($C$12+$C$8*_xlfn.NORM.S.INV(RAND()))</f>
        <v/>
      </c>
    </row>
    <row r="5816">
      <c r="F5816">
        <f>F5815+1</f>
        <v/>
      </c>
      <c r="G5816" s="92">
        <f>EXP($C$12+$C$8*_xlfn.NORM.S.INV(RAND()))</f>
        <v/>
      </c>
    </row>
    <row r="5817">
      <c r="F5817">
        <f>F5816+1</f>
        <v/>
      </c>
      <c r="G5817" s="92">
        <f>EXP($C$12+$C$8*_xlfn.NORM.S.INV(RAND()))</f>
        <v/>
      </c>
    </row>
    <row r="5818">
      <c r="F5818">
        <f>F5817+1</f>
        <v/>
      </c>
      <c r="G5818" s="92">
        <f>EXP($C$12+$C$8*_xlfn.NORM.S.INV(RAND()))</f>
        <v/>
      </c>
    </row>
    <row r="5819">
      <c r="F5819">
        <f>F5818+1</f>
        <v/>
      </c>
      <c r="G5819" s="92">
        <f>EXP($C$12+$C$8*_xlfn.NORM.S.INV(RAND()))</f>
        <v/>
      </c>
    </row>
    <row r="5820">
      <c r="F5820">
        <f>F5819+1</f>
        <v/>
      </c>
      <c r="G5820" s="92">
        <f>EXP($C$12+$C$8*_xlfn.NORM.S.INV(RAND()))</f>
        <v/>
      </c>
    </row>
    <row r="5821">
      <c r="F5821">
        <f>F5820+1</f>
        <v/>
      </c>
      <c r="G5821" s="92">
        <f>EXP($C$12+$C$8*_xlfn.NORM.S.INV(RAND()))</f>
        <v/>
      </c>
    </row>
    <row r="5822">
      <c r="F5822">
        <f>F5821+1</f>
        <v/>
      </c>
      <c r="G5822" s="92">
        <f>EXP($C$12+$C$8*_xlfn.NORM.S.INV(RAND()))</f>
        <v/>
      </c>
    </row>
    <row r="5823">
      <c r="F5823">
        <f>F5822+1</f>
        <v/>
      </c>
      <c r="G5823" s="92">
        <f>EXP($C$12+$C$8*_xlfn.NORM.S.INV(RAND()))</f>
        <v/>
      </c>
    </row>
    <row r="5824">
      <c r="F5824">
        <f>F5823+1</f>
        <v/>
      </c>
      <c r="G5824" s="92">
        <f>EXP($C$12+$C$8*_xlfn.NORM.S.INV(RAND()))</f>
        <v/>
      </c>
    </row>
    <row r="5825">
      <c r="F5825">
        <f>F5824+1</f>
        <v/>
      </c>
      <c r="G5825" s="92">
        <f>EXP($C$12+$C$8*_xlfn.NORM.S.INV(RAND()))</f>
        <v/>
      </c>
    </row>
    <row r="5826">
      <c r="F5826">
        <f>F5825+1</f>
        <v/>
      </c>
      <c r="G5826" s="92">
        <f>EXP($C$12+$C$8*_xlfn.NORM.S.INV(RAND()))</f>
        <v/>
      </c>
    </row>
    <row r="5827">
      <c r="F5827">
        <f>F5826+1</f>
        <v/>
      </c>
      <c r="G5827" s="92">
        <f>EXP($C$12+$C$8*_xlfn.NORM.S.INV(RAND()))</f>
        <v/>
      </c>
    </row>
    <row r="5828">
      <c r="F5828">
        <f>F5827+1</f>
        <v/>
      </c>
      <c r="G5828" s="92">
        <f>EXP($C$12+$C$8*_xlfn.NORM.S.INV(RAND()))</f>
        <v/>
      </c>
    </row>
    <row r="5829">
      <c r="F5829">
        <f>F5828+1</f>
        <v/>
      </c>
      <c r="G5829" s="92">
        <f>EXP($C$12+$C$8*_xlfn.NORM.S.INV(RAND()))</f>
        <v/>
      </c>
    </row>
    <row r="5830">
      <c r="F5830">
        <f>F5829+1</f>
        <v/>
      </c>
      <c r="G5830" s="92">
        <f>EXP($C$12+$C$8*_xlfn.NORM.S.INV(RAND()))</f>
        <v/>
      </c>
    </row>
    <row r="5831">
      <c r="F5831">
        <f>F5830+1</f>
        <v/>
      </c>
      <c r="G5831" s="92">
        <f>EXP($C$12+$C$8*_xlfn.NORM.S.INV(RAND()))</f>
        <v/>
      </c>
    </row>
    <row r="5832">
      <c r="F5832">
        <f>F5831+1</f>
        <v/>
      </c>
      <c r="G5832" s="92">
        <f>EXP($C$12+$C$8*_xlfn.NORM.S.INV(RAND()))</f>
        <v/>
      </c>
    </row>
    <row r="5833">
      <c r="F5833">
        <f>F5832+1</f>
        <v/>
      </c>
      <c r="G5833" s="92">
        <f>EXP($C$12+$C$8*_xlfn.NORM.S.INV(RAND()))</f>
        <v/>
      </c>
    </row>
    <row r="5834">
      <c r="F5834">
        <f>F5833+1</f>
        <v/>
      </c>
      <c r="G5834" s="92">
        <f>EXP($C$12+$C$8*_xlfn.NORM.S.INV(RAND()))</f>
        <v/>
      </c>
    </row>
    <row r="5835">
      <c r="F5835">
        <f>F5834+1</f>
        <v/>
      </c>
      <c r="G5835" s="92">
        <f>EXP($C$12+$C$8*_xlfn.NORM.S.INV(RAND()))</f>
        <v/>
      </c>
    </row>
    <row r="5836">
      <c r="F5836">
        <f>F5835+1</f>
        <v/>
      </c>
      <c r="G5836" s="92">
        <f>EXP($C$12+$C$8*_xlfn.NORM.S.INV(RAND()))</f>
        <v/>
      </c>
    </row>
    <row r="5837">
      <c r="F5837">
        <f>F5836+1</f>
        <v/>
      </c>
      <c r="G5837" s="92">
        <f>EXP($C$12+$C$8*_xlfn.NORM.S.INV(RAND()))</f>
        <v/>
      </c>
    </row>
    <row r="5838">
      <c r="F5838">
        <f>F5837+1</f>
        <v/>
      </c>
      <c r="G5838" s="92">
        <f>EXP($C$12+$C$8*_xlfn.NORM.S.INV(RAND()))</f>
        <v/>
      </c>
    </row>
    <row r="5839">
      <c r="F5839">
        <f>F5838+1</f>
        <v/>
      </c>
      <c r="G5839" s="92">
        <f>EXP($C$12+$C$8*_xlfn.NORM.S.INV(RAND()))</f>
        <v/>
      </c>
    </row>
    <row r="5840">
      <c r="F5840">
        <f>F5839+1</f>
        <v/>
      </c>
      <c r="G5840" s="92">
        <f>EXP($C$12+$C$8*_xlfn.NORM.S.INV(RAND()))</f>
        <v/>
      </c>
    </row>
    <row r="5841">
      <c r="F5841">
        <f>F5840+1</f>
        <v/>
      </c>
      <c r="G5841" s="92">
        <f>EXP($C$12+$C$8*_xlfn.NORM.S.INV(RAND()))</f>
        <v/>
      </c>
    </row>
    <row r="5842">
      <c r="F5842">
        <f>F5841+1</f>
        <v/>
      </c>
      <c r="G5842" s="92">
        <f>EXP($C$12+$C$8*_xlfn.NORM.S.INV(RAND()))</f>
        <v/>
      </c>
    </row>
    <row r="5843">
      <c r="F5843">
        <f>F5842+1</f>
        <v/>
      </c>
      <c r="G5843" s="92">
        <f>EXP($C$12+$C$8*_xlfn.NORM.S.INV(RAND()))</f>
        <v/>
      </c>
    </row>
    <row r="5844">
      <c r="F5844">
        <f>F5843+1</f>
        <v/>
      </c>
      <c r="G5844" s="92">
        <f>EXP($C$12+$C$8*_xlfn.NORM.S.INV(RAND()))</f>
        <v/>
      </c>
    </row>
    <row r="5845">
      <c r="F5845">
        <f>F5844+1</f>
        <v/>
      </c>
      <c r="G5845" s="92">
        <f>EXP($C$12+$C$8*_xlfn.NORM.S.INV(RAND()))</f>
        <v/>
      </c>
    </row>
    <row r="5846">
      <c r="F5846">
        <f>F5845+1</f>
        <v/>
      </c>
      <c r="G5846" s="92">
        <f>EXP($C$12+$C$8*_xlfn.NORM.S.INV(RAND()))</f>
        <v/>
      </c>
    </row>
    <row r="5847">
      <c r="F5847">
        <f>F5846+1</f>
        <v/>
      </c>
      <c r="G5847" s="92">
        <f>EXP($C$12+$C$8*_xlfn.NORM.S.INV(RAND()))</f>
        <v/>
      </c>
    </row>
    <row r="5848">
      <c r="F5848">
        <f>F5847+1</f>
        <v/>
      </c>
      <c r="G5848" s="92">
        <f>EXP($C$12+$C$8*_xlfn.NORM.S.INV(RAND()))</f>
        <v/>
      </c>
    </row>
    <row r="5849">
      <c r="F5849">
        <f>F5848+1</f>
        <v/>
      </c>
      <c r="G5849" s="92">
        <f>EXP($C$12+$C$8*_xlfn.NORM.S.INV(RAND()))</f>
        <v/>
      </c>
    </row>
    <row r="5850">
      <c r="F5850">
        <f>F5849+1</f>
        <v/>
      </c>
      <c r="G5850" s="92">
        <f>EXP($C$12+$C$8*_xlfn.NORM.S.INV(RAND()))</f>
        <v/>
      </c>
    </row>
    <row r="5851">
      <c r="F5851">
        <f>F5850+1</f>
        <v/>
      </c>
      <c r="G5851" s="92">
        <f>EXP($C$12+$C$8*_xlfn.NORM.S.INV(RAND()))</f>
        <v/>
      </c>
    </row>
    <row r="5852">
      <c r="F5852">
        <f>F5851+1</f>
        <v/>
      </c>
      <c r="G5852" s="92">
        <f>EXP($C$12+$C$8*_xlfn.NORM.S.INV(RAND()))</f>
        <v/>
      </c>
    </row>
    <row r="5853">
      <c r="F5853">
        <f>F5852+1</f>
        <v/>
      </c>
      <c r="G5853" s="92">
        <f>EXP($C$12+$C$8*_xlfn.NORM.S.INV(RAND()))</f>
        <v/>
      </c>
    </row>
    <row r="5854">
      <c r="F5854">
        <f>F5853+1</f>
        <v/>
      </c>
      <c r="G5854" s="92">
        <f>EXP($C$12+$C$8*_xlfn.NORM.S.INV(RAND()))</f>
        <v/>
      </c>
    </row>
    <row r="5855">
      <c r="F5855">
        <f>F5854+1</f>
        <v/>
      </c>
      <c r="G5855" s="92">
        <f>EXP($C$12+$C$8*_xlfn.NORM.S.INV(RAND()))</f>
        <v/>
      </c>
    </row>
    <row r="5856">
      <c r="F5856">
        <f>F5855+1</f>
        <v/>
      </c>
      <c r="G5856" s="92">
        <f>EXP($C$12+$C$8*_xlfn.NORM.S.INV(RAND()))</f>
        <v/>
      </c>
    </row>
    <row r="5857">
      <c r="F5857">
        <f>F5856+1</f>
        <v/>
      </c>
      <c r="G5857" s="92">
        <f>EXP($C$12+$C$8*_xlfn.NORM.S.INV(RAND()))</f>
        <v/>
      </c>
    </row>
    <row r="5858">
      <c r="F5858">
        <f>F5857+1</f>
        <v/>
      </c>
      <c r="G5858" s="92">
        <f>EXP($C$12+$C$8*_xlfn.NORM.S.INV(RAND()))</f>
        <v/>
      </c>
    </row>
    <row r="5859">
      <c r="F5859">
        <f>F5858+1</f>
        <v/>
      </c>
      <c r="G5859" s="92">
        <f>EXP($C$12+$C$8*_xlfn.NORM.S.INV(RAND()))</f>
        <v/>
      </c>
    </row>
    <row r="5860">
      <c r="F5860">
        <f>F5859+1</f>
        <v/>
      </c>
      <c r="G5860" s="92">
        <f>EXP($C$12+$C$8*_xlfn.NORM.S.INV(RAND()))</f>
        <v/>
      </c>
    </row>
    <row r="5861">
      <c r="F5861">
        <f>F5860+1</f>
        <v/>
      </c>
      <c r="G5861" s="92">
        <f>EXP($C$12+$C$8*_xlfn.NORM.S.INV(RAND()))</f>
        <v/>
      </c>
    </row>
    <row r="5862">
      <c r="F5862">
        <f>F5861+1</f>
        <v/>
      </c>
      <c r="G5862" s="92">
        <f>EXP($C$12+$C$8*_xlfn.NORM.S.INV(RAND()))</f>
        <v/>
      </c>
    </row>
    <row r="5863">
      <c r="F5863">
        <f>F5862+1</f>
        <v/>
      </c>
      <c r="G5863" s="92">
        <f>EXP($C$12+$C$8*_xlfn.NORM.S.INV(RAND()))</f>
        <v/>
      </c>
    </row>
    <row r="5864">
      <c r="F5864">
        <f>F5863+1</f>
        <v/>
      </c>
      <c r="G5864" s="92">
        <f>EXP($C$12+$C$8*_xlfn.NORM.S.INV(RAND()))</f>
        <v/>
      </c>
    </row>
    <row r="5865">
      <c r="F5865">
        <f>F5864+1</f>
        <v/>
      </c>
      <c r="G5865" s="92">
        <f>EXP($C$12+$C$8*_xlfn.NORM.S.INV(RAND()))</f>
        <v/>
      </c>
    </row>
    <row r="5866">
      <c r="F5866">
        <f>F5865+1</f>
        <v/>
      </c>
      <c r="G5866" s="92">
        <f>EXP($C$12+$C$8*_xlfn.NORM.S.INV(RAND()))</f>
        <v/>
      </c>
    </row>
    <row r="5867">
      <c r="F5867">
        <f>F5866+1</f>
        <v/>
      </c>
      <c r="G5867" s="92">
        <f>EXP($C$12+$C$8*_xlfn.NORM.S.INV(RAND()))</f>
        <v/>
      </c>
    </row>
    <row r="5868">
      <c r="F5868">
        <f>F5867+1</f>
        <v/>
      </c>
      <c r="G5868" s="92">
        <f>EXP($C$12+$C$8*_xlfn.NORM.S.INV(RAND()))</f>
        <v/>
      </c>
    </row>
    <row r="5869">
      <c r="F5869">
        <f>F5868+1</f>
        <v/>
      </c>
      <c r="G5869" s="92">
        <f>EXP($C$12+$C$8*_xlfn.NORM.S.INV(RAND()))</f>
        <v/>
      </c>
    </row>
    <row r="5870">
      <c r="F5870">
        <f>F5869+1</f>
        <v/>
      </c>
      <c r="G5870" s="92">
        <f>EXP($C$12+$C$8*_xlfn.NORM.S.INV(RAND()))</f>
        <v/>
      </c>
    </row>
    <row r="5871">
      <c r="F5871">
        <f>F5870+1</f>
        <v/>
      </c>
      <c r="G5871" s="92">
        <f>EXP($C$12+$C$8*_xlfn.NORM.S.INV(RAND()))</f>
        <v/>
      </c>
    </row>
    <row r="5872">
      <c r="F5872">
        <f>F5871+1</f>
        <v/>
      </c>
      <c r="G5872" s="92">
        <f>EXP($C$12+$C$8*_xlfn.NORM.S.INV(RAND()))</f>
        <v/>
      </c>
    </row>
    <row r="5873">
      <c r="F5873">
        <f>F5872+1</f>
        <v/>
      </c>
      <c r="G5873" s="92">
        <f>EXP($C$12+$C$8*_xlfn.NORM.S.INV(RAND()))</f>
        <v/>
      </c>
    </row>
    <row r="5874">
      <c r="F5874">
        <f>F5873+1</f>
        <v/>
      </c>
      <c r="G5874" s="92">
        <f>EXP($C$12+$C$8*_xlfn.NORM.S.INV(RAND()))</f>
        <v/>
      </c>
    </row>
    <row r="5875">
      <c r="F5875">
        <f>F5874+1</f>
        <v/>
      </c>
      <c r="G5875" s="92">
        <f>EXP($C$12+$C$8*_xlfn.NORM.S.INV(RAND()))</f>
        <v/>
      </c>
    </row>
    <row r="5876">
      <c r="F5876">
        <f>F5875+1</f>
        <v/>
      </c>
      <c r="G5876" s="92">
        <f>EXP($C$12+$C$8*_xlfn.NORM.S.INV(RAND()))</f>
        <v/>
      </c>
    </row>
    <row r="5877">
      <c r="F5877">
        <f>F5876+1</f>
        <v/>
      </c>
      <c r="G5877" s="92">
        <f>EXP($C$12+$C$8*_xlfn.NORM.S.INV(RAND()))</f>
        <v/>
      </c>
    </row>
    <row r="5878">
      <c r="F5878">
        <f>F5877+1</f>
        <v/>
      </c>
      <c r="G5878" s="92">
        <f>EXP($C$12+$C$8*_xlfn.NORM.S.INV(RAND()))</f>
        <v/>
      </c>
    </row>
    <row r="5879">
      <c r="F5879">
        <f>F5878+1</f>
        <v/>
      </c>
      <c r="G5879" s="92">
        <f>EXP($C$12+$C$8*_xlfn.NORM.S.INV(RAND()))</f>
        <v/>
      </c>
    </row>
    <row r="5880">
      <c r="F5880">
        <f>F5879+1</f>
        <v/>
      </c>
      <c r="G5880" s="92">
        <f>EXP($C$12+$C$8*_xlfn.NORM.S.INV(RAND()))</f>
        <v/>
      </c>
    </row>
    <row r="5881">
      <c r="F5881">
        <f>F5880+1</f>
        <v/>
      </c>
      <c r="G5881" s="92">
        <f>EXP($C$12+$C$8*_xlfn.NORM.S.INV(RAND()))</f>
        <v/>
      </c>
    </row>
    <row r="5882">
      <c r="F5882">
        <f>F5881+1</f>
        <v/>
      </c>
      <c r="G5882" s="92">
        <f>EXP($C$12+$C$8*_xlfn.NORM.S.INV(RAND()))</f>
        <v/>
      </c>
    </row>
    <row r="5883">
      <c r="F5883">
        <f>F5882+1</f>
        <v/>
      </c>
      <c r="G5883" s="92">
        <f>EXP($C$12+$C$8*_xlfn.NORM.S.INV(RAND()))</f>
        <v/>
      </c>
    </row>
    <row r="5884">
      <c r="F5884">
        <f>F5883+1</f>
        <v/>
      </c>
      <c r="G5884" s="92">
        <f>EXP($C$12+$C$8*_xlfn.NORM.S.INV(RAND()))</f>
        <v/>
      </c>
    </row>
    <row r="5885">
      <c r="F5885">
        <f>F5884+1</f>
        <v/>
      </c>
      <c r="G5885" s="92">
        <f>EXP($C$12+$C$8*_xlfn.NORM.S.INV(RAND()))</f>
        <v/>
      </c>
    </row>
    <row r="5886">
      <c r="F5886">
        <f>F5885+1</f>
        <v/>
      </c>
      <c r="G5886" s="92">
        <f>EXP($C$12+$C$8*_xlfn.NORM.S.INV(RAND()))</f>
        <v/>
      </c>
    </row>
    <row r="5887">
      <c r="F5887">
        <f>F5886+1</f>
        <v/>
      </c>
      <c r="G5887" s="92">
        <f>EXP($C$12+$C$8*_xlfn.NORM.S.INV(RAND()))</f>
        <v/>
      </c>
    </row>
    <row r="5888">
      <c r="F5888">
        <f>F5887+1</f>
        <v/>
      </c>
      <c r="G5888" s="92">
        <f>EXP($C$12+$C$8*_xlfn.NORM.S.INV(RAND()))</f>
        <v/>
      </c>
    </row>
    <row r="5889">
      <c r="F5889">
        <f>F5888+1</f>
        <v/>
      </c>
      <c r="G5889" s="92">
        <f>EXP($C$12+$C$8*_xlfn.NORM.S.INV(RAND()))</f>
        <v/>
      </c>
    </row>
    <row r="5890">
      <c r="F5890">
        <f>F5889+1</f>
        <v/>
      </c>
      <c r="G5890" s="92">
        <f>EXP($C$12+$C$8*_xlfn.NORM.S.INV(RAND()))</f>
        <v/>
      </c>
    </row>
    <row r="5891">
      <c r="F5891">
        <f>F5890+1</f>
        <v/>
      </c>
      <c r="G5891" s="92">
        <f>EXP($C$12+$C$8*_xlfn.NORM.S.INV(RAND()))</f>
        <v/>
      </c>
    </row>
    <row r="5892">
      <c r="F5892">
        <f>F5891+1</f>
        <v/>
      </c>
      <c r="G5892" s="92">
        <f>EXP($C$12+$C$8*_xlfn.NORM.S.INV(RAND()))</f>
        <v/>
      </c>
    </row>
    <row r="5893">
      <c r="F5893">
        <f>F5892+1</f>
        <v/>
      </c>
      <c r="G5893" s="92">
        <f>EXP($C$12+$C$8*_xlfn.NORM.S.INV(RAND()))</f>
        <v/>
      </c>
    </row>
    <row r="5894">
      <c r="F5894">
        <f>F5893+1</f>
        <v/>
      </c>
      <c r="G5894" s="92">
        <f>EXP($C$12+$C$8*_xlfn.NORM.S.INV(RAND()))</f>
        <v/>
      </c>
    </row>
    <row r="5895">
      <c r="F5895">
        <f>F5894+1</f>
        <v/>
      </c>
      <c r="G5895" s="92">
        <f>EXP($C$12+$C$8*_xlfn.NORM.S.INV(RAND()))</f>
        <v/>
      </c>
    </row>
    <row r="5896">
      <c r="F5896">
        <f>F5895+1</f>
        <v/>
      </c>
      <c r="G5896" s="92">
        <f>EXP($C$12+$C$8*_xlfn.NORM.S.INV(RAND()))</f>
        <v/>
      </c>
    </row>
    <row r="5897">
      <c r="F5897">
        <f>F5896+1</f>
        <v/>
      </c>
      <c r="G5897" s="92">
        <f>EXP($C$12+$C$8*_xlfn.NORM.S.INV(RAND()))</f>
        <v/>
      </c>
    </row>
    <row r="5898">
      <c r="F5898">
        <f>F5897+1</f>
        <v/>
      </c>
      <c r="G5898" s="92">
        <f>EXP($C$12+$C$8*_xlfn.NORM.S.INV(RAND()))</f>
        <v/>
      </c>
    </row>
    <row r="5899">
      <c r="F5899">
        <f>F5898+1</f>
        <v/>
      </c>
      <c r="G5899" s="92">
        <f>EXP($C$12+$C$8*_xlfn.NORM.S.INV(RAND()))</f>
        <v/>
      </c>
    </row>
    <row r="5900">
      <c r="F5900">
        <f>F5899+1</f>
        <v/>
      </c>
      <c r="G5900" s="92">
        <f>EXP($C$12+$C$8*_xlfn.NORM.S.INV(RAND()))</f>
        <v/>
      </c>
    </row>
    <row r="5901">
      <c r="F5901">
        <f>F5900+1</f>
        <v/>
      </c>
      <c r="G5901" s="92">
        <f>EXP($C$12+$C$8*_xlfn.NORM.S.INV(RAND()))</f>
        <v/>
      </c>
    </row>
    <row r="5902">
      <c r="F5902">
        <f>F5901+1</f>
        <v/>
      </c>
      <c r="G5902" s="92">
        <f>EXP($C$12+$C$8*_xlfn.NORM.S.INV(RAND()))</f>
        <v/>
      </c>
    </row>
    <row r="5903">
      <c r="F5903">
        <f>F5902+1</f>
        <v/>
      </c>
      <c r="G5903" s="92">
        <f>EXP($C$12+$C$8*_xlfn.NORM.S.INV(RAND()))</f>
        <v/>
      </c>
    </row>
    <row r="5904">
      <c r="F5904">
        <f>F5903+1</f>
        <v/>
      </c>
      <c r="G5904" s="92">
        <f>EXP($C$12+$C$8*_xlfn.NORM.S.INV(RAND()))</f>
        <v/>
      </c>
    </row>
    <row r="5905">
      <c r="F5905">
        <f>F5904+1</f>
        <v/>
      </c>
      <c r="G5905" s="92">
        <f>EXP($C$12+$C$8*_xlfn.NORM.S.INV(RAND()))</f>
        <v/>
      </c>
    </row>
    <row r="5906">
      <c r="F5906">
        <f>F5905+1</f>
        <v/>
      </c>
      <c r="G5906" s="92">
        <f>EXP($C$12+$C$8*_xlfn.NORM.S.INV(RAND()))</f>
        <v/>
      </c>
    </row>
    <row r="5907">
      <c r="F5907">
        <f>F5906+1</f>
        <v/>
      </c>
      <c r="G5907" s="92">
        <f>EXP($C$12+$C$8*_xlfn.NORM.S.INV(RAND()))</f>
        <v/>
      </c>
    </row>
    <row r="5908">
      <c r="F5908">
        <f>F5907+1</f>
        <v/>
      </c>
      <c r="G5908" s="92">
        <f>EXP($C$12+$C$8*_xlfn.NORM.S.INV(RAND()))</f>
        <v/>
      </c>
    </row>
    <row r="5909">
      <c r="F5909">
        <f>F5908+1</f>
        <v/>
      </c>
      <c r="G5909" s="92">
        <f>EXP($C$12+$C$8*_xlfn.NORM.S.INV(RAND()))</f>
        <v/>
      </c>
    </row>
    <row r="5910">
      <c r="F5910">
        <f>F5909+1</f>
        <v/>
      </c>
      <c r="G5910" s="92">
        <f>EXP($C$12+$C$8*_xlfn.NORM.S.INV(RAND()))</f>
        <v/>
      </c>
    </row>
    <row r="5911">
      <c r="F5911">
        <f>F5910+1</f>
        <v/>
      </c>
      <c r="G5911" s="92">
        <f>EXP($C$12+$C$8*_xlfn.NORM.S.INV(RAND()))</f>
        <v/>
      </c>
    </row>
    <row r="5912">
      <c r="F5912">
        <f>F5911+1</f>
        <v/>
      </c>
      <c r="G5912" s="92">
        <f>EXP($C$12+$C$8*_xlfn.NORM.S.INV(RAND()))</f>
        <v/>
      </c>
    </row>
    <row r="5913">
      <c r="F5913">
        <f>F5912+1</f>
        <v/>
      </c>
      <c r="G5913" s="92">
        <f>EXP($C$12+$C$8*_xlfn.NORM.S.INV(RAND()))</f>
        <v/>
      </c>
    </row>
    <row r="5914">
      <c r="F5914">
        <f>F5913+1</f>
        <v/>
      </c>
      <c r="G5914" s="92">
        <f>EXP($C$12+$C$8*_xlfn.NORM.S.INV(RAND()))</f>
        <v/>
      </c>
    </row>
    <row r="5915">
      <c r="F5915">
        <f>F5914+1</f>
        <v/>
      </c>
      <c r="G5915" s="92">
        <f>EXP($C$12+$C$8*_xlfn.NORM.S.INV(RAND()))</f>
        <v/>
      </c>
    </row>
    <row r="5916">
      <c r="F5916">
        <f>F5915+1</f>
        <v/>
      </c>
      <c r="G5916" s="92">
        <f>EXP($C$12+$C$8*_xlfn.NORM.S.INV(RAND()))</f>
        <v/>
      </c>
    </row>
    <row r="5917">
      <c r="F5917">
        <f>F5916+1</f>
        <v/>
      </c>
      <c r="G5917" s="92">
        <f>EXP($C$12+$C$8*_xlfn.NORM.S.INV(RAND()))</f>
        <v/>
      </c>
    </row>
    <row r="5918">
      <c r="F5918">
        <f>F5917+1</f>
        <v/>
      </c>
      <c r="G5918" s="92">
        <f>EXP($C$12+$C$8*_xlfn.NORM.S.INV(RAND()))</f>
        <v/>
      </c>
    </row>
    <row r="5919">
      <c r="F5919">
        <f>F5918+1</f>
        <v/>
      </c>
      <c r="G5919" s="92">
        <f>EXP($C$12+$C$8*_xlfn.NORM.S.INV(RAND()))</f>
        <v/>
      </c>
    </row>
    <row r="5920">
      <c r="F5920">
        <f>F5919+1</f>
        <v/>
      </c>
      <c r="G5920" s="92">
        <f>EXP($C$12+$C$8*_xlfn.NORM.S.INV(RAND()))</f>
        <v/>
      </c>
    </row>
    <row r="5921">
      <c r="F5921">
        <f>F5920+1</f>
        <v/>
      </c>
      <c r="G5921" s="92">
        <f>EXP($C$12+$C$8*_xlfn.NORM.S.INV(RAND()))</f>
        <v/>
      </c>
    </row>
    <row r="5922">
      <c r="F5922">
        <f>F5921+1</f>
        <v/>
      </c>
      <c r="G5922" s="92">
        <f>EXP($C$12+$C$8*_xlfn.NORM.S.INV(RAND()))</f>
        <v/>
      </c>
    </row>
    <row r="5923">
      <c r="F5923">
        <f>F5922+1</f>
        <v/>
      </c>
      <c r="G5923" s="92">
        <f>EXP($C$12+$C$8*_xlfn.NORM.S.INV(RAND()))</f>
        <v/>
      </c>
    </row>
    <row r="5924">
      <c r="F5924">
        <f>F5923+1</f>
        <v/>
      </c>
      <c r="G5924" s="92">
        <f>EXP($C$12+$C$8*_xlfn.NORM.S.INV(RAND()))</f>
        <v/>
      </c>
    </row>
    <row r="5925">
      <c r="F5925">
        <f>F5924+1</f>
        <v/>
      </c>
      <c r="G5925" s="92">
        <f>EXP($C$12+$C$8*_xlfn.NORM.S.INV(RAND()))</f>
        <v/>
      </c>
    </row>
    <row r="5926">
      <c r="F5926">
        <f>F5925+1</f>
        <v/>
      </c>
      <c r="G5926" s="92">
        <f>EXP($C$12+$C$8*_xlfn.NORM.S.INV(RAND()))</f>
        <v/>
      </c>
    </row>
    <row r="5927">
      <c r="F5927">
        <f>F5926+1</f>
        <v/>
      </c>
      <c r="G5927" s="92">
        <f>EXP($C$12+$C$8*_xlfn.NORM.S.INV(RAND()))</f>
        <v/>
      </c>
    </row>
    <row r="5928">
      <c r="F5928">
        <f>F5927+1</f>
        <v/>
      </c>
      <c r="G5928" s="92">
        <f>EXP($C$12+$C$8*_xlfn.NORM.S.INV(RAND()))</f>
        <v/>
      </c>
    </row>
    <row r="5929">
      <c r="F5929">
        <f>F5928+1</f>
        <v/>
      </c>
      <c r="G5929" s="92">
        <f>EXP($C$12+$C$8*_xlfn.NORM.S.INV(RAND()))</f>
        <v/>
      </c>
    </row>
    <row r="5930">
      <c r="F5930">
        <f>F5929+1</f>
        <v/>
      </c>
      <c r="G5930" s="92">
        <f>EXP($C$12+$C$8*_xlfn.NORM.S.INV(RAND()))</f>
        <v/>
      </c>
    </row>
    <row r="5931">
      <c r="F5931">
        <f>F5930+1</f>
        <v/>
      </c>
      <c r="G5931" s="92">
        <f>EXP($C$12+$C$8*_xlfn.NORM.S.INV(RAND()))</f>
        <v/>
      </c>
    </row>
    <row r="5932">
      <c r="F5932">
        <f>F5931+1</f>
        <v/>
      </c>
      <c r="G5932" s="92">
        <f>EXP($C$12+$C$8*_xlfn.NORM.S.INV(RAND()))</f>
        <v/>
      </c>
    </row>
    <row r="5933">
      <c r="F5933">
        <f>F5932+1</f>
        <v/>
      </c>
      <c r="G5933" s="92">
        <f>EXP($C$12+$C$8*_xlfn.NORM.S.INV(RAND()))</f>
        <v/>
      </c>
    </row>
    <row r="5934">
      <c r="F5934">
        <f>F5933+1</f>
        <v/>
      </c>
      <c r="G5934" s="92">
        <f>EXP($C$12+$C$8*_xlfn.NORM.S.INV(RAND()))</f>
        <v/>
      </c>
    </row>
    <row r="5935">
      <c r="F5935">
        <f>F5934+1</f>
        <v/>
      </c>
      <c r="G5935" s="92">
        <f>EXP($C$12+$C$8*_xlfn.NORM.S.INV(RAND()))</f>
        <v/>
      </c>
    </row>
    <row r="5936">
      <c r="F5936">
        <f>F5935+1</f>
        <v/>
      </c>
      <c r="G5936" s="92">
        <f>EXP($C$12+$C$8*_xlfn.NORM.S.INV(RAND()))</f>
        <v/>
      </c>
    </row>
    <row r="5937">
      <c r="F5937">
        <f>F5936+1</f>
        <v/>
      </c>
      <c r="G5937" s="92">
        <f>EXP($C$12+$C$8*_xlfn.NORM.S.INV(RAND()))</f>
        <v/>
      </c>
    </row>
    <row r="5938">
      <c r="F5938">
        <f>F5937+1</f>
        <v/>
      </c>
      <c r="G5938" s="92">
        <f>EXP($C$12+$C$8*_xlfn.NORM.S.INV(RAND()))</f>
        <v/>
      </c>
    </row>
    <row r="5939">
      <c r="F5939">
        <f>F5938+1</f>
        <v/>
      </c>
      <c r="G5939" s="92">
        <f>EXP($C$12+$C$8*_xlfn.NORM.S.INV(RAND()))</f>
        <v/>
      </c>
    </row>
    <row r="5940">
      <c r="F5940">
        <f>F5939+1</f>
        <v/>
      </c>
      <c r="G5940" s="92">
        <f>EXP($C$12+$C$8*_xlfn.NORM.S.INV(RAND()))</f>
        <v/>
      </c>
    </row>
    <row r="5941">
      <c r="F5941">
        <f>F5940+1</f>
        <v/>
      </c>
      <c r="G5941" s="92">
        <f>EXP($C$12+$C$8*_xlfn.NORM.S.INV(RAND()))</f>
        <v/>
      </c>
    </row>
    <row r="5942">
      <c r="F5942">
        <f>F5941+1</f>
        <v/>
      </c>
      <c r="G5942" s="92">
        <f>EXP($C$12+$C$8*_xlfn.NORM.S.INV(RAND()))</f>
        <v/>
      </c>
    </row>
    <row r="5943">
      <c r="F5943">
        <f>F5942+1</f>
        <v/>
      </c>
      <c r="G5943" s="92">
        <f>EXP($C$12+$C$8*_xlfn.NORM.S.INV(RAND()))</f>
        <v/>
      </c>
    </row>
    <row r="5944">
      <c r="F5944">
        <f>F5943+1</f>
        <v/>
      </c>
      <c r="G5944" s="92">
        <f>EXP($C$12+$C$8*_xlfn.NORM.S.INV(RAND()))</f>
        <v/>
      </c>
    </row>
    <row r="5945">
      <c r="F5945">
        <f>F5944+1</f>
        <v/>
      </c>
      <c r="G5945" s="92">
        <f>EXP($C$12+$C$8*_xlfn.NORM.S.INV(RAND()))</f>
        <v/>
      </c>
    </row>
    <row r="5946">
      <c r="F5946">
        <f>F5945+1</f>
        <v/>
      </c>
      <c r="G5946" s="92">
        <f>EXP($C$12+$C$8*_xlfn.NORM.S.INV(RAND()))</f>
        <v/>
      </c>
    </row>
    <row r="5947">
      <c r="F5947">
        <f>F5946+1</f>
        <v/>
      </c>
      <c r="G5947" s="92">
        <f>EXP($C$12+$C$8*_xlfn.NORM.S.INV(RAND()))</f>
        <v/>
      </c>
    </row>
    <row r="5948">
      <c r="F5948">
        <f>F5947+1</f>
        <v/>
      </c>
      <c r="G5948" s="92">
        <f>EXP($C$12+$C$8*_xlfn.NORM.S.INV(RAND()))</f>
        <v/>
      </c>
    </row>
    <row r="5949">
      <c r="F5949">
        <f>F5948+1</f>
        <v/>
      </c>
      <c r="G5949" s="92">
        <f>EXP($C$12+$C$8*_xlfn.NORM.S.INV(RAND()))</f>
        <v/>
      </c>
    </row>
    <row r="5950">
      <c r="F5950">
        <f>F5949+1</f>
        <v/>
      </c>
      <c r="G5950" s="92">
        <f>EXP($C$12+$C$8*_xlfn.NORM.S.INV(RAND()))</f>
        <v/>
      </c>
    </row>
    <row r="5951">
      <c r="F5951">
        <f>F5950+1</f>
        <v/>
      </c>
      <c r="G5951" s="92">
        <f>EXP($C$12+$C$8*_xlfn.NORM.S.INV(RAND()))</f>
        <v/>
      </c>
    </row>
    <row r="5952">
      <c r="F5952">
        <f>F5951+1</f>
        <v/>
      </c>
      <c r="G5952" s="92">
        <f>EXP($C$12+$C$8*_xlfn.NORM.S.INV(RAND()))</f>
        <v/>
      </c>
    </row>
    <row r="5953">
      <c r="F5953">
        <f>F5952+1</f>
        <v/>
      </c>
      <c r="G5953" s="92">
        <f>EXP($C$12+$C$8*_xlfn.NORM.S.INV(RAND()))</f>
        <v/>
      </c>
    </row>
    <row r="5954">
      <c r="F5954">
        <f>F5953+1</f>
        <v/>
      </c>
      <c r="G5954" s="92">
        <f>EXP($C$12+$C$8*_xlfn.NORM.S.INV(RAND()))</f>
        <v/>
      </c>
    </row>
    <row r="5955">
      <c r="F5955">
        <f>F5954+1</f>
        <v/>
      </c>
      <c r="G5955" s="92">
        <f>EXP($C$12+$C$8*_xlfn.NORM.S.INV(RAND()))</f>
        <v/>
      </c>
    </row>
    <row r="5956">
      <c r="F5956">
        <f>F5955+1</f>
        <v/>
      </c>
      <c r="G5956" s="92">
        <f>EXP($C$12+$C$8*_xlfn.NORM.S.INV(RAND()))</f>
        <v/>
      </c>
    </row>
    <row r="5957">
      <c r="F5957">
        <f>F5956+1</f>
        <v/>
      </c>
      <c r="G5957" s="92">
        <f>EXP($C$12+$C$8*_xlfn.NORM.S.INV(RAND()))</f>
        <v/>
      </c>
    </row>
    <row r="5958">
      <c r="F5958">
        <f>F5957+1</f>
        <v/>
      </c>
      <c r="G5958" s="92">
        <f>EXP($C$12+$C$8*_xlfn.NORM.S.INV(RAND()))</f>
        <v/>
      </c>
    </row>
    <row r="5959">
      <c r="F5959">
        <f>F5958+1</f>
        <v/>
      </c>
      <c r="G5959" s="92">
        <f>EXP($C$12+$C$8*_xlfn.NORM.S.INV(RAND()))</f>
        <v/>
      </c>
    </row>
    <row r="5960">
      <c r="F5960">
        <f>F5959+1</f>
        <v/>
      </c>
      <c r="G5960" s="92">
        <f>EXP($C$12+$C$8*_xlfn.NORM.S.INV(RAND()))</f>
        <v/>
      </c>
    </row>
    <row r="5961">
      <c r="F5961">
        <f>F5960+1</f>
        <v/>
      </c>
      <c r="G5961" s="92">
        <f>EXP($C$12+$C$8*_xlfn.NORM.S.INV(RAND()))</f>
        <v/>
      </c>
    </row>
    <row r="5962">
      <c r="F5962">
        <f>F5961+1</f>
        <v/>
      </c>
      <c r="G5962" s="92">
        <f>EXP($C$12+$C$8*_xlfn.NORM.S.INV(RAND()))</f>
        <v/>
      </c>
    </row>
    <row r="5963">
      <c r="F5963">
        <f>F5962+1</f>
        <v/>
      </c>
      <c r="G5963" s="92">
        <f>EXP($C$12+$C$8*_xlfn.NORM.S.INV(RAND()))</f>
        <v/>
      </c>
    </row>
    <row r="5964">
      <c r="F5964">
        <f>F5963+1</f>
        <v/>
      </c>
      <c r="G5964" s="92">
        <f>EXP($C$12+$C$8*_xlfn.NORM.S.INV(RAND()))</f>
        <v/>
      </c>
    </row>
    <row r="5965">
      <c r="F5965">
        <f>F5964+1</f>
        <v/>
      </c>
      <c r="G5965" s="92">
        <f>EXP($C$12+$C$8*_xlfn.NORM.S.INV(RAND()))</f>
        <v/>
      </c>
    </row>
    <row r="5966">
      <c r="F5966">
        <f>F5965+1</f>
        <v/>
      </c>
      <c r="G5966" s="92">
        <f>EXP($C$12+$C$8*_xlfn.NORM.S.INV(RAND()))</f>
        <v/>
      </c>
    </row>
    <row r="5967">
      <c r="F5967">
        <f>F5966+1</f>
        <v/>
      </c>
      <c r="G5967" s="92">
        <f>EXP($C$12+$C$8*_xlfn.NORM.S.INV(RAND()))</f>
        <v/>
      </c>
    </row>
    <row r="5968">
      <c r="F5968">
        <f>F5967+1</f>
        <v/>
      </c>
      <c r="G5968" s="92">
        <f>EXP($C$12+$C$8*_xlfn.NORM.S.INV(RAND()))</f>
        <v/>
      </c>
    </row>
    <row r="5969">
      <c r="F5969">
        <f>F5968+1</f>
        <v/>
      </c>
      <c r="G5969" s="92">
        <f>EXP($C$12+$C$8*_xlfn.NORM.S.INV(RAND()))</f>
        <v/>
      </c>
    </row>
    <row r="5970">
      <c r="F5970">
        <f>F5969+1</f>
        <v/>
      </c>
      <c r="G5970" s="92">
        <f>EXP($C$12+$C$8*_xlfn.NORM.S.INV(RAND()))</f>
        <v/>
      </c>
    </row>
    <row r="5971">
      <c r="F5971">
        <f>F5970+1</f>
        <v/>
      </c>
      <c r="G5971" s="92">
        <f>EXP($C$12+$C$8*_xlfn.NORM.S.INV(RAND()))</f>
        <v/>
      </c>
    </row>
    <row r="5972">
      <c r="F5972">
        <f>F5971+1</f>
        <v/>
      </c>
      <c r="G5972" s="92">
        <f>EXP($C$12+$C$8*_xlfn.NORM.S.INV(RAND()))</f>
        <v/>
      </c>
    </row>
    <row r="5973">
      <c r="F5973">
        <f>F5972+1</f>
        <v/>
      </c>
      <c r="G5973" s="92">
        <f>EXP($C$12+$C$8*_xlfn.NORM.S.INV(RAND()))</f>
        <v/>
      </c>
    </row>
    <row r="5974">
      <c r="F5974">
        <f>F5973+1</f>
        <v/>
      </c>
      <c r="G5974" s="92">
        <f>EXP($C$12+$C$8*_xlfn.NORM.S.INV(RAND()))</f>
        <v/>
      </c>
    </row>
    <row r="5975">
      <c r="F5975">
        <f>F5974+1</f>
        <v/>
      </c>
      <c r="G5975" s="92">
        <f>EXP($C$12+$C$8*_xlfn.NORM.S.INV(RAND()))</f>
        <v/>
      </c>
    </row>
    <row r="5976">
      <c r="F5976">
        <f>F5975+1</f>
        <v/>
      </c>
      <c r="G5976" s="92">
        <f>EXP($C$12+$C$8*_xlfn.NORM.S.INV(RAND()))</f>
        <v/>
      </c>
    </row>
    <row r="5977">
      <c r="F5977">
        <f>F5976+1</f>
        <v/>
      </c>
      <c r="G5977" s="92">
        <f>EXP($C$12+$C$8*_xlfn.NORM.S.INV(RAND()))</f>
        <v/>
      </c>
    </row>
    <row r="5978">
      <c r="F5978">
        <f>F5977+1</f>
        <v/>
      </c>
      <c r="G5978" s="92">
        <f>EXP($C$12+$C$8*_xlfn.NORM.S.INV(RAND()))</f>
        <v/>
      </c>
    </row>
    <row r="5979">
      <c r="F5979">
        <f>F5978+1</f>
        <v/>
      </c>
      <c r="G5979" s="92">
        <f>EXP($C$12+$C$8*_xlfn.NORM.S.INV(RAND()))</f>
        <v/>
      </c>
    </row>
    <row r="5980">
      <c r="F5980">
        <f>F5979+1</f>
        <v/>
      </c>
      <c r="G5980" s="92">
        <f>EXP($C$12+$C$8*_xlfn.NORM.S.INV(RAND()))</f>
        <v/>
      </c>
    </row>
    <row r="5981">
      <c r="F5981">
        <f>F5980+1</f>
        <v/>
      </c>
      <c r="G5981" s="92">
        <f>EXP($C$12+$C$8*_xlfn.NORM.S.INV(RAND()))</f>
        <v/>
      </c>
    </row>
    <row r="5982">
      <c r="F5982">
        <f>F5981+1</f>
        <v/>
      </c>
      <c r="G5982" s="92">
        <f>EXP($C$12+$C$8*_xlfn.NORM.S.INV(RAND()))</f>
        <v/>
      </c>
    </row>
    <row r="5983">
      <c r="F5983">
        <f>F5982+1</f>
        <v/>
      </c>
      <c r="G5983" s="92">
        <f>EXP($C$12+$C$8*_xlfn.NORM.S.INV(RAND()))</f>
        <v/>
      </c>
    </row>
    <row r="5984">
      <c r="F5984">
        <f>F5983+1</f>
        <v/>
      </c>
      <c r="G5984" s="92">
        <f>EXP($C$12+$C$8*_xlfn.NORM.S.INV(RAND()))</f>
        <v/>
      </c>
    </row>
    <row r="5985">
      <c r="F5985">
        <f>F5984+1</f>
        <v/>
      </c>
      <c r="G5985" s="92">
        <f>EXP($C$12+$C$8*_xlfn.NORM.S.INV(RAND()))</f>
        <v/>
      </c>
    </row>
    <row r="5986">
      <c r="F5986">
        <f>F5985+1</f>
        <v/>
      </c>
      <c r="G5986" s="92">
        <f>EXP($C$12+$C$8*_xlfn.NORM.S.INV(RAND()))</f>
        <v/>
      </c>
    </row>
    <row r="5987">
      <c r="F5987">
        <f>F5986+1</f>
        <v/>
      </c>
      <c r="G5987" s="92">
        <f>EXP($C$12+$C$8*_xlfn.NORM.S.INV(RAND()))</f>
        <v/>
      </c>
    </row>
    <row r="5988">
      <c r="F5988">
        <f>F5987+1</f>
        <v/>
      </c>
      <c r="G5988" s="92">
        <f>EXP($C$12+$C$8*_xlfn.NORM.S.INV(RAND()))</f>
        <v/>
      </c>
    </row>
    <row r="5989">
      <c r="F5989">
        <f>F5988+1</f>
        <v/>
      </c>
      <c r="G5989" s="92">
        <f>EXP($C$12+$C$8*_xlfn.NORM.S.INV(RAND()))</f>
        <v/>
      </c>
    </row>
    <row r="5990">
      <c r="F5990">
        <f>F5989+1</f>
        <v/>
      </c>
      <c r="G5990" s="92">
        <f>EXP($C$12+$C$8*_xlfn.NORM.S.INV(RAND()))</f>
        <v/>
      </c>
    </row>
    <row r="5991">
      <c r="F5991">
        <f>F5990+1</f>
        <v/>
      </c>
      <c r="G5991" s="92">
        <f>EXP($C$12+$C$8*_xlfn.NORM.S.INV(RAND()))</f>
        <v/>
      </c>
    </row>
    <row r="5992">
      <c r="F5992">
        <f>F5991+1</f>
        <v/>
      </c>
      <c r="G5992" s="92">
        <f>EXP($C$12+$C$8*_xlfn.NORM.S.INV(RAND()))</f>
        <v/>
      </c>
    </row>
    <row r="5993">
      <c r="F5993">
        <f>F5992+1</f>
        <v/>
      </c>
      <c r="G5993" s="92">
        <f>EXP($C$12+$C$8*_xlfn.NORM.S.INV(RAND()))</f>
        <v/>
      </c>
    </row>
    <row r="5994">
      <c r="F5994">
        <f>F5993+1</f>
        <v/>
      </c>
      <c r="G5994" s="92">
        <f>EXP($C$12+$C$8*_xlfn.NORM.S.INV(RAND()))</f>
        <v/>
      </c>
    </row>
    <row r="5995">
      <c r="F5995">
        <f>F5994+1</f>
        <v/>
      </c>
      <c r="G5995" s="92">
        <f>EXP($C$12+$C$8*_xlfn.NORM.S.INV(RAND()))</f>
        <v/>
      </c>
    </row>
    <row r="5996">
      <c r="F5996">
        <f>F5995+1</f>
        <v/>
      </c>
      <c r="G5996" s="92">
        <f>EXP($C$12+$C$8*_xlfn.NORM.S.INV(RAND()))</f>
        <v/>
      </c>
    </row>
    <row r="5997">
      <c r="F5997">
        <f>F5996+1</f>
        <v/>
      </c>
      <c r="G5997" s="92">
        <f>EXP($C$12+$C$8*_xlfn.NORM.S.INV(RAND()))</f>
        <v/>
      </c>
    </row>
    <row r="5998">
      <c r="F5998">
        <f>F5997+1</f>
        <v/>
      </c>
      <c r="G5998" s="92">
        <f>EXP($C$12+$C$8*_xlfn.NORM.S.INV(RAND()))</f>
        <v/>
      </c>
    </row>
    <row r="5999">
      <c r="F5999">
        <f>F5998+1</f>
        <v/>
      </c>
      <c r="G5999" s="92">
        <f>EXP($C$12+$C$8*_xlfn.NORM.S.INV(RAND()))</f>
        <v/>
      </c>
    </row>
    <row r="6000">
      <c r="F6000">
        <f>F5999+1</f>
        <v/>
      </c>
      <c r="G6000" s="92">
        <f>EXP($C$12+$C$8*_xlfn.NORM.S.INV(RAND()))</f>
        <v/>
      </c>
    </row>
    <row r="6001">
      <c r="F6001">
        <f>F6000+1</f>
        <v/>
      </c>
      <c r="G6001" s="92">
        <f>EXP($C$12+$C$8*_xlfn.NORM.S.INV(RAND()))</f>
        <v/>
      </c>
    </row>
    <row r="6002">
      <c r="F6002">
        <f>F6001+1</f>
        <v/>
      </c>
      <c r="G6002" s="92">
        <f>EXP($C$12+$C$8*_xlfn.NORM.S.INV(RAND()))</f>
        <v/>
      </c>
    </row>
    <row r="6003">
      <c r="F6003">
        <f>F6002+1</f>
        <v/>
      </c>
      <c r="G6003" s="92">
        <f>EXP($C$12+$C$8*_xlfn.NORM.S.INV(RAND()))</f>
        <v/>
      </c>
    </row>
    <row r="6004">
      <c r="F6004">
        <f>F6003+1</f>
        <v/>
      </c>
      <c r="G6004" s="92">
        <f>EXP($C$12+$C$8*_xlfn.NORM.S.INV(RAND()))</f>
        <v/>
      </c>
    </row>
    <row r="6005">
      <c r="F6005">
        <f>F6004+1</f>
        <v/>
      </c>
      <c r="G6005" s="92">
        <f>EXP($C$12+$C$8*_xlfn.NORM.S.INV(RAND()))</f>
        <v/>
      </c>
    </row>
    <row r="6006">
      <c r="F6006">
        <f>F6005+1</f>
        <v/>
      </c>
      <c r="G6006" s="92">
        <f>EXP($C$12+$C$8*_xlfn.NORM.S.INV(RAND()))</f>
        <v/>
      </c>
    </row>
    <row r="6007">
      <c r="F6007">
        <f>F6006+1</f>
        <v/>
      </c>
      <c r="G6007" s="92">
        <f>EXP($C$12+$C$8*_xlfn.NORM.S.INV(RAND()))</f>
        <v/>
      </c>
    </row>
    <row r="6008">
      <c r="F6008">
        <f>F6007+1</f>
        <v/>
      </c>
      <c r="G6008" s="92">
        <f>EXP($C$12+$C$8*_xlfn.NORM.S.INV(RAND()))</f>
        <v/>
      </c>
    </row>
    <row r="6009">
      <c r="F6009">
        <f>F6008+1</f>
        <v/>
      </c>
      <c r="G6009" s="92">
        <f>EXP($C$12+$C$8*_xlfn.NORM.S.INV(RAND()))</f>
        <v/>
      </c>
    </row>
    <row r="6010">
      <c r="F6010">
        <f>F6009+1</f>
        <v/>
      </c>
      <c r="G6010" s="92">
        <f>EXP($C$12+$C$8*_xlfn.NORM.S.INV(RAND()))</f>
        <v/>
      </c>
    </row>
    <row r="6011">
      <c r="F6011">
        <f>F6010+1</f>
        <v/>
      </c>
      <c r="G6011" s="92">
        <f>EXP($C$12+$C$8*_xlfn.NORM.S.INV(RAND()))</f>
        <v/>
      </c>
    </row>
    <row r="6012">
      <c r="F6012">
        <f>F6011+1</f>
        <v/>
      </c>
      <c r="G6012" s="92">
        <f>EXP($C$12+$C$8*_xlfn.NORM.S.INV(RAND()))</f>
        <v/>
      </c>
    </row>
    <row r="6013">
      <c r="F6013">
        <f>F6012+1</f>
        <v/>
      </c>
      <c r="G6013" s="92">
        <f>EXP($C$12+$C$8*_xlfn.NORM.S.INV(RAND()))</f>
        <v/>
      </c>
    </row>
    <row r="6014">
      <c r="F6014">
        <f>F6013+1</f>
        <v/>
      </c>
      <c r="G6014" s="92">
        <f>EXP($C$12+$C$8*_xlfn.NORM.S.INV(RAND()))</f>
        <v/>
      </c>
    </row>
    <row r="6015">
      <c r="F6015">
        <f>F6014+1</f>
        <v/>
      </c>
      <c r="G6015" s="92">
        <f>EXP($C$12+$C$8*_xlfn.NORM.S.INV(RAND()))</f>
        <v/>
      </c>
    </row>
    <row r="6016">
      <c r="F6016">
        <f>F6015+1</f>
        <v/>
      </c>
      <c r="G6016" s="92">
        <f>EXP($C$12+$C$8*_xlfn.NORM.S.INV(RAND()))</f>
        <v/>
      </c>
    </row>
    <row r="6017">
      <c r="F6017">
        <f>F6016+1</f>
        <v/>
      </c>
      <c r="G6017" s="92">
        <f>EXP($C$12+$C$8*_xlfn.NORM.S.INV(RAND()))</f>
        <v/>
      </c>
    </row>
    <row r="6018">
      <c r="F6018">
        <f>F6017+1</f>
        <v/>
      </c>
      <c r="G6018" s="92">
        <f>EXP($C$12+$C$8*_xlfn.NORM.S.INV(RAND()))</f>
        <v/>
      </c>
    </row>
    <row r="6019">
      <c r="F6019">
        <f>F6018+1</f>
        <v/>
      </c>
      <c r="G6019" s="92">
        <f>EXP($C$12+$C$8*_xlfn.NORM.S.INV(RAND()))</f>
        <v/>
      </c>
    </row>
    <row r="6020">
      <c r="F6020">
        <f>F6019+1</f>
        <v/>
      </c>
      <c r="G6020" s="92">
        <f>EXP($C$12+$C$8*_xlfn.NORM.S.INV(RAND()))</f>
        <v/>
      </c>
    </row>
    <row r="6021">
      <c r="F6021">
        <f>F6020+1</f>
        <v/>
      </c>
      <c r="G6021" s="92">
        <f>EXP($C$12+$C$8*_xlfn.NORM.S.INV(RAND()))</f>
        <v/>
      </c>
    </row>
    <row r="6022">
      <c r="F6022">
        <f>F6021+1</f>
        <v/>
      </c>
      <c r="G6022" s="92">
        <f>EXP($C$12+$C$8*_xlfn.NORM.S.INV(RAND()))</f>
        <v/>
      </c>
    </row>
    <row r="6023">
      <c r="F6023">
        <f>F6022+1</f>
        <v/>
      </c>
      <c r="G6023" s="92">
        <f>EXP($C$12+$C$8*_xlfn.NORM.S.INV(RAND()))</f>
        <v/>
      </c>
    </row>
    <row r="6024">
      <c r="F6024">
        <f>F6023+1</f>
        <v/>
      </c>
      <c r="G6024" s="92">
        <f>EXP($C$12+$C$8*_xlfn.NORM.S.INV(RAND()))</f>
        <v/>
      </c>
    </row>
    <row r="6025">
      <c r="F6025">
        <f>F6024+1</f>
        <v/>
      </c>
      <c r="G6025" s="92">
        <f>EXP($C$12+$C$8*_xlfn.NORM.S.INV(RAND()))</f>
        <v/>
      </c>
    </row>
    <row r="6026">
      <c r="F6026">
        <f>F6025+1</f>
        <v/>
      </c>
      <c r="G6026" s="92">
        <f>EXP($C$12+$C$8*_xlfn.NORM.S.INV(RAND()))</f>
        <v/>
      </c>
    </row>
    <row r="6027">
      <c r="F6027">
        <f>F6026+1</f>
        <v/>
      </c>
      <c r="G6027" s="92">
        <f>EXP($C$12+$C$8*_xlfn.NORM.S.INV(RAND()))</f>
        <v/>
      </c>
    </row>
    <row r="6028">
      <c r="F6028">
        <f>F6027+1</f>
        <v/>
      </c>
      <c r="G6028" s="92">
        <f>EXP($C$12+$C$8*_xlfn.NORM.S.INV(RAND()))</f>
        <v/>
      </c>
    </row>
    <row r="6029">
      <c r="F6029">
        <f>F6028+1</f>
        <v/>
      </c>
      <c r="G6029" s="92">
        <f>EXP($C$12+$C$8*_xlfn.NORM.S.INV(RAND()))</f>
        <v/>
      </c>
    </row>
    <row r="6030">
      <c r="F6030">
        <f>F6029+1</f>
        <v/>
      </c>
      <c r="G6030" s="92">
        <f>EXP($C$12+$C$8*_xlfn.NORM.S.INV(RAND()))</f>
        <v/>
      </c>
    </row>
    <row r="6031">
      <c r="F6031">
        <f>F6030+1</f>
        <v/>
      </c>
      <c r="G6031" s="92">
        <f>EXP($C$12+$C$8*_xlfn.NORM.S.INV(RAND()))</f>
        <v/>
      </c>
    </row>
    <row r="6032">
      <c r="F6032">
        <f>F6031+1</f>
        <v/>
      </c>
      <c r="G6032" s="92">
        <f>EXP($C$12+$C$8*_xlfn.NORM.S.INV(RAND()))</f>
        <v/>
      </c>
    </row>
    <row r="6033">
      <c r="F6033">
        <f>F6032+1</f>
        <v/>
      </c>
      <c r="G6033" s="92">
        <f>EXP($C$12+$C$8*_xlfn.NORM.S.INV(RAND()))</f>
        <v/>
      </c>
    </row>
    <row r="6034">
      <c r="F6034">
        <f>F6033+1</f>
        <v/>
      </c>
      <c r="G6034" s="92">
        <f>EXP($C$12+$C$8*_xlfn.NORM.S.INV(RAND()))</f>
        <v/>
      </c>
    </row>
    <row r="6035">
      <c r="F6035">
        <f>F6034+1</f>
        <v/>
      </c>
      <c r="G6035" s="92">
        <f>EXP($C$12+$C$8*_xlfn.NORM.S.INV(RAND()))</f>
        <v/>
      </c>
    </row>
    <row r="6036">
      <c r="F6036">
        <f>F6035+1</f>
        <v/>
      </c>
      <c r="G6036" s="92">
        <f>EXP($C$12+$C$8*_xlfn.NORM.S.INV(RAND()))</f>
        <v/>
      </c>
    </row>
    <row r="6037">
      <c r="F6037">
        <f>F6036+1</f>
        <v/>
      </c>
      <c r="G6037" s="92">
        <f>EXP($C$12+$C$8*_xlfn.NORM.S.INV(RAND()))</f>
        <v/>
      </c>
    </row>
    <row r="6038">
      <c r="F6038">
        <f>F6037+1</f>
        <v/>
      </c>
      <c r="G6038" s="92">
        <f>EXP($C$12+$C$8*_xlfn.NORM.S.INV(RAND()))</f>
        <v/>
      </c>
    </row>
    <row r="6039">
      <c r="F6039">
        <f>F6038+1</f>
        <v/>
      </c>
      <c r="G6039" s="92">
        <f>EXP($C$12+$C$8*_xlfn.NORM.S.INV(RAND()))</f>
        <v/>
      </c>
    </row>
    <row r="6040">
      <c r="F6040">
        <f>F6039+1</f>
        <v/>
      </c>
      <c r="G6040" s="92">
        <f>EXP($C$12+$C$8*_xlfn.NORM.S.INV(RAND()))</f>
        <v/>
      </c>
    </row>
    <row r="6041">
      <c r="F6041">
        <f>F6040+1</f>
        <v/>
      </c>
      <c r="G6041" s="92">
        <f>EXP($C$12+$C$8*_xlfn.NORM.S.INV(RAND()))</f>
        <v/>
      </c>
    </row>
    <row r="6042">
      <c r="F6042">
        <f>F6041+1</f>
        <v/>
      </c>
      <c r="G6042" s="92">
        <f>EXP($C$12+$C$8*_xlfn.NORM.S.INV(RAND()))</f>
        <v/>
      </c>
    </row>
    <row r="6043">
      <c r="F6043">
        <f>F6042+1</f>
        <v/>
      </c>
      <c r="G6043" s="92">
        <f>EXP($C$12+$C$8*_xlfn.NORM.S.INV(RAND()))</f>
        <v/>
      </c>
    </row>
    <row r="6044">
      <c r="F6044">
        <f>F6043+1</f>
        <v/>
      </c>
      <c r="G6044" s="92">
        <f>EXP($C$12+$C$8*_xlfn.NORM.S.INV(RAND()))</f>
        <v/>
      </c>
    </row>
    <row r="6045">
      <c r="F6045">
        <f>F6044+1</f>
        <v/>
      </c>
      <c r="G6045" s="92">
        <f>EXP($C$12+$C$8*_xlfn.NORM.S.INV(RAND()))</f>
        <v/>
      </c>
    </row>
    <row r="6046">
      <c r="F6046">
        <f>F6045+1</f>
        <v/>
      </c>
      <c r="G6046" s="92">
        <f>EXP($C$12+$C$8*_xlfn.NORM.S.INV(RAND()))</f>
        <v/>
      </c>
    </row>
    <row r="6047">
      <c r="F6047">
        <f>F6046+1</f>
        <v/>
      </c>
      <c r="G6047" s="92">
        <f>EXP($C$12+$C$8*_xlfn.NORM.S.INV(RAND()))</f>
        <v/>
      </c>
    </row>
    <row r="6048">
      <c r="F6048">
        <f>F6047+1</f>
        <v/>
      </c>
      <c r="G6048" s="92">
        <f>EXP($C$12+$C$8*_xlfn.NORM.S.INV(RAND()))</f>
        <v/>
      </c>
    </row>
    <row r="6049">
      <c r="F6049">
        <f>F6048+1</f>
        <v/>
      </c>
      <c r="G6049" s="92">
        <f>EXP($C$12+$C$8*_xlfn.NORM.S.INV(RAND()))</f>
        <v/>
      </c>
    </row>
    <row r="6050">
      <c r="F6050">
        <f>F6049+1</f>
        <v/>
      </c>
      <c r="G6050" s="92">
        <f>EXP($C$12+$C$8*_xlfn.NORM.S.INV(RAND()))</f>
        <v/>
      </c>
    </row>
    <row r="6051">
      <c r="F6051">
        <f>F6050+1</f>
        <v/>
      </c>
      <c r="G6051" s="92">
        <f>EXP($C$12+$C$8*_xlfn.NORM.S.INV(RAND()))</f>
        <v/>
      </c>
    </row>
    <row r="6052">
      <c r="F6052">
        <f>F6051+1</f>
        <v/>
      </c>
      <c r="G6052" s="92">
        <f>EXP($C$12+$C$8*_xlfn.NORM.S.INV(RAND()))</f>
        <v/>
      </c>
    </row>
    <row r="6053">
      <c r="F6053">
        <f>F6052+1</f>
        <v/>
      </c>
      <c r="G6053" s="92">
        <f>EXP($C$12+$C$8*_xlfn.NORM.S.INV(RAND()))</f>
        <v/>
      </c>
    </row>
    <row r="6054">
      <c r="F6054">
        <f>F6053+1</f>
        <v/>
      </c>
      <c r="G6054" s="92">
        <f>EXP($C$12+$C$8*_xlfn.NORM.S.INV(RAND()))</f>
        <v/>
      </c>
    </row>
    <row r="6055">
      <c r="F6055">
        <f>F6054+1</f>
        <v/>
      </c>
      <c r="G6055" s="92">
        <f>EXP($C$12+$C$8*_xlfn.NORM.S.INV(RAND()))</f>
        <v/>
      </c>
    </row>
    <row r="6056">
      <c r="F6056">
        <f>F6055+1</f>
        <v/>
      </c>
      <c r="G6056" s="92">
        <f>EXP($C$12+$C$8*_xlfn.NORM.S.INV(RAND()))</f>
        <v/>
      </c>
    </row>
    <row r="6057">
      <c r="F6057">
        <f>F6056+1</f>
        <v/>
      </c>
      <c r="G6057" s="92">
        <f>EXP($C$12+$C$8*_xlfn.NORM.S.INV(RAND()))</f>
        <v/>
      </c>
    </row>
    <row r="6058">
      <c r="F6058">
        <f>F6057+1</f>
        <v/>
      </c>
      <c r="G6058" s="92">
        <f>EXP($C$12+$C$8*_xlfn.NORM.S.INV(RAND()))</f>
        <v/>
      </c>
    </row>
    <row r="6059">
      <c r="F6059">
        <f>F6058+1</f>
        <v/>
      </c>
      <c r="G6059" s="92">
        <f>EXP($C$12+$C$8*_xlfn.NORM.S.INV(RAND()))</f>
        <v/>
      </c>
    </row>
    <row r="6060">
      <c r="F6060">
        <f>F6059+1</f>
        <v/>
      </c>
      <c r="G6060" s="92">
        <f>EXP($C$12+$C$8*_xlfn.NORM.S.INV(RAND()))</f>
        <v/>
      </c>
    </row>
    <row r="6061">
      <c r="F6061">
        <f>F6060+1</f>
        <v/>
      </c>
      <c r="G6061" s="92">
        <f>EXP($C$12+$C$8*_xlfn.NORM.S.INV(RAND()))</f>
        <v/>
      </c>
    </row>
    <row r="6062">
      <c r="F6062">
        <f>F6061+1</f>
        <v/>
      </c>
      <c r="G6062" s="92">
        <f>EXP($C$12+$C$8*_xlfn.NORM.S.INV(RAND()))</f>
        <v/>
      </c>
    </row>
    <row r="6063">
      <c r="F6063">
        <f>F6062+1</f>
        <v/>
      </c>
      <c r="G6063" s="92">
        <f>EXP($C$12+$C$8*_xlfn.NORM.S.INV(RAND()))</f>
        <v/>
      </c>
    </row>
    <row r="6064">
      <c r="F6064">
        <f>F6063+1</f>
        <v/>
      </c>
      <c r="G6064" s="92">
        <f>EXP($C$12+$C$8*_xlfn.NORM.S.INV(RAND()))</f>
        <v/>
      </c>
    </row>
    <row r="6065">
      <c r="F6065">
        <f>F6064+1</f>
        <v/>
      </c>
      <c r="G6065" s="92">
        <f>EXP($C$12+$C$8*_xlfn.NORM.S.INV(RAND()))</f>
        <v/>
      </c>
    </row>
    <row r="6066">
      <c r="F6066">
        <f>F6065+1</f>
        <v/>
      </c>
      <c r="G6066" s="92">
        <f>EXP($C$12+$C$8*_xlfn.NORM.S.INV(RAND()))</f>
        <v/>
      </c>
    </row>
    <row r="6067">
      <c r="F6067">
        <f>F6066+1</f>
        <v/>
      </c>
      <c r="G6067" s="92">
        <f>EXP($C$12+$C$8*_xlfn.NORM.S.INV(RAND()))</f>
        <v/>
      </c>
    </row>
    <row r="6068">
      <c r="F6068">
        <f>F6067+1</f>
        <v/>
      </c>
      <c r="G6068" s="92">
        <f>EXP($C$12+$C$8*_xlfn.NORM.S.INV(RAND()))</f>
        <v/>
      </c>
    </row>
    <row r="6069">
      <c r="F6069">
        <f>F6068+1</f>
        <v/>
      </c>
      <c r="G6069" s="92">
        <f>EXP($C$12+$C$8*_xlfn.NORM.S.INV(RAND()))</f>
        <v/>
      </c>
    </row>
    <row r="6070">
      <c r="F6070">
        <f>F6069+1</f>
        <v/>
      </c>
      <c r="G6070" s="92">
        <f>EXP($C$12+$C$8*_xlfn.NORM.S.INV(RAND()))</f>
        <v/>
      </c>
    </row>
    <row r="6071">
      <c r="F6071">
        <f>F6070+1</f>
        <v/>
      </c>
      <c r="G6071" s="92">
        <f>EXP($C$12+$C$8*_xlfn.NORM.S.INV(RAND()))</f>
        <v/>
      </c>
    </row>
    <row r="6072">
      <c r="F6072">
        <f>F6071+1</f>
        <v/>
      </c>
      <c r="G6072" s="92">
        <f>EXP($C$12+$C$8*_xlfn.NORM.S.INV(RAND()))</f>
        <v/>
      </c>
    </row>
    <row r="6073">
      <c r="F6073">
        <f>F6072+1</f>
        <v/>
      </c>
      <c r="G6073" s="92">
        <f>EXP($C$12+$C$8*_xlfn.NORM.S.INV(RAND()))</f>
        <v/>
      </c>
    </row>
    <row r="6074">
      <c r="F6074">
        <f>F6073+1</f>
        <v/>
      </c>
      <c r="G6074" s="92">
        <f>EXP($C$12+$C$8*_xlfn.NORM.S.INV(RAND()))</f>
        <v/>
      </c>
    </row>
    <row r="6075">
      <c r="F6075">
        <f>F6074+1</f>
        <v/>
      </c>
      <c r="G6075" s="92">
        <f>EXP($C$12+$C$8*_xlfn.NORM.S.INV(RAND()))</f>
        <v/>
      </c>
    </row>
    <row r="6076">
      <c r="F6076">
        <f>F6075+1</f>
        <v/>
      </c>
      <c r="G6076" s="92">
        <f>EXP($C$12+$C$8*_xlfn.NORM.S.INV(RAND()))</f>
        <v/>
      </c>
    </row>
    <row r="6077">
      <c r="F6077">
        <f>F6076+1</f>
        <v/>
      </c>
      <c r="G6077" s="92">
        <f>EXP($C$12+$C$8*_xlfn.NORM.S.INV(RAND()))</f>
        <v/>
      </c>
    </row>
    <row r="6078">
      <c r="F6078">
        <f>F6077+1</f>
        <v/>
      </c>
      <c r="G6078" s="92">
        <f>EXP($C$12+$C$8*_xlfn.NORM.S.INV(RAND()))</f>
        <v/>
      </c>
    </row>
    <row r="6079">
      <c r="F6079">
        <f>F6078+1</f>
        <v/>
      </c>
      <c r="G6079" s="92">
        <f>EXP($C$12+$C$8*_xlfn.NORM.S.INV(RAND()))</f>
        <v/>
      </c>
    </row>
    <row r="6080">
      <c r="F6080">
        <f>F6079+1</f>
        <v/>
      </c>
      <c r="G6080" s="92">
        <f>EXP($C$12+$C$8*_xlfn.NORM.S.INV(RAND()))</f>
        <v/>
      </c>
    </row>
    <row r="6081">
      <c r="F6081">
        <f>F6080+1</f>
        <v/>
      </c>
      <c r="G6081" s="92">
        <f>EXP($C$12+$C$8*_xlfn.NORM.S.INV(RAND()))</f>
        <v/>
      </c>
    </row>
    <row r="6082">
      <c r="F6082">
        <f>F6081+1</f>
        <v/>
      </c>
      <c r="G6082" s="92">
        <f>EXP($C$12+$C$8*_xlfn.NORM.S.INV(RAND()))</f>
        <v/>
      </c>
    </row>
    <row r="6083">
      <c r="F6083">
        <f>F6082+1</f>
        <v/>
      </c>
      <c r="G6083" s="92">
        <f>EXP($C$12+$C$8*_xlfn.NORM.S.INV(RAND()))</f>
        <v/>
      </c>
    </row>
    <row r="6084">
      <c r="F6084">
        <f>F6083+1</f>
        <v/>
      </c>
      <c r="G6084" s="92">
        <f>EXP($C$12+$C$8*_xlfn.NORM.S.INV(RAND()))</f>
        <v/>
      </c>
    </row>
    <row r="6085">
      <c r="F6085">
        <f>F6084+1</f>
        <v/>
      </c>
      <c r="G6085" s="92">
        <f>EXP($C$12+$C$8*_xlfn.NORM.S.INV(RAND()))</f>
        <v/>
      </c>
    </row>
    <row r="6086">
      <c r="F6086">
        <f>F6085+1</f>
        <v/>
      </c>
      <c r="G6086" s="92">
        <f>EXP($C$12+$C$8*_xlfn.NORM.S.INV(RAND()))</f>
        <v/>
      </c>
    </row>
    <row r="6087">
      <c r="F6087">
        <f>F6086+1</f>
        <v/>
      </c>
      <c r="G6087" s="92">
        <f>EXP($C$12+$C$8*_xlfn.NORM.S.INV(RAND()))</f>
        <v/>
      </c>
    </row>
    <row r="6088">
      <c r="F6088">
        <f>F6087+1</f>
        <v/>
      </c>
      <c r="G6088" s="92">
        <f>EXP($C$12+$C$8*_xlfn.NORM.S.INV(RAND()))</f>
        <v/>
      </c>
    </row>
    <row r="6089">
      <c r="F6089">
        <f>F6088+1</f>
        <v/>
      </c>
      <c r="G6089" s="92">
        <f>EXP($C$12+$C$8*_xlfn.NORM.S.INV(RAND()))</f>
        <v/>
      </c>
    </row>
    <row r="6090">
      <c r="F6090">
        <f>F6089+1</f>
        <v/>
      </c>
      <c r="G6090" s="92">
        <f>EXP($C$12+$C$8*_xlfn.NORM.S.INV(RAND()))</f>
        <v/>
      </c>
    </row>
    <row r="6091">
      <c r="F6091">
        <f>F6090+1</f>
        <v/>
      </c>
      <c r="G6091" s="92">
        <f>EXP($C$12+$C$8*_xlfn.NORM.S.INV(RAND()))</f>
        <v/>
      </c>
    </row>
    <row r="6092">
      <c r="F6092">
        <f>F6091+1</f>
        <v/>
      </c>
      <c r="G6092" s="92">
        <f>EXP($C$12+$C$8*_xlfn.NORM.S.INV(RAND()))</f>
        <v/>
      </c>
    </row>
    <row r="6093">
      <c r="F6093">
        <f>F6092+1</f>
        <v/>
      </c>
      <c r="G6093" s="92">
        <f>EXP($C$12+$C$8*_xlfn.NORM.S.INV(RAND()))</f>
        <v/>
      </c>
    </row>
    <row r="6094">
      <c r="F6094">
        <f>F6093+1</f>
        <v/>
      </c>
      <c r="G6094" s="92">
        <f>EXP($C$12+$C$8*_xlfn.NORM.S.INV(RAND()))</f>
        <v/>
      </c>
    </row>
    <row r="6095">
      <c r="F6095">
        <f>F6094+1</f>
        <v/>
      </c>
      <c r="G6095" s="92">
        <f>EXP($C$12+$C$8*_xlfn.NORM.S.INV(RAND()))</f>
        <v/>
      </c>
    </row>
    <row r="6096">
      <c r="F6096">
        <f>F6095+1</f>
        <v/>
      </c>
      <c r="G6096" s="92">
        <f>EXP($C$12+$C$8*_xlfn.NORM.S.INV(RAND()))</f>
        <v/>
      </c>
    </row>
    <row r="6097">
      <c r="F6097">
        <f>F6096+1</f>
        <v/>
      </c>
      <c r="G6097" s="92">
        <f>EXP($C$12+$C$8*_xlfn.NORM.S.INV(RAND()))</f>
        <v/>
      </c>
    </row>
    <row r="6098">
      <c r="F6098">
        <f>F6097+1</f>
        <v/>
      </c>
      <c r="G6098" s="92">
        <f>EXP($C$12+$C$8*_xlfn.NORM.S.INV(RAND()))</f>
        <v/>
      </c>
    </row>
    <row r="6099">
      <c r="F6099">
        <f>F6098+1</f>
        <v/>
      </c>
      <c r="G6099" s="92">
        <f>EXP($C$12+$C$8*_xlfn.NORM.S.INV(RAND()))</f>
        <v/>
      </c>
    </row>
    <row r="6100">
      <c r="F6100">
        <f>F6099+1</f>
        <v/>
      </c>
      <c r="G6100" s="92">
        <f>EXP($C$12+$C$8*_xlfn.NORM.S.INV(RAND()))</f>
        <v/>
      </c>
    </row>
    <row r="6101">
      <c r="F6101">
        <f>F6100+1</f>
        <v/>
      </c>
      <c r="G6101" s="92">
        <f>EXP($C$12+$C$8*_xlfn.NORM.S.INV(RAND()))</f>
        <v/>
      </c>
    </row>
    <row r="6102">
      <c r="F6102">
        <f>F6101+1</f>
        <v/>
      </c>
      <c r="G6102" s="92">
        <f>EXP($C$12+$C$8*_xlfn.NORM.S.INV(RAND()))</f>
        <v/>
      </c>
    </row>
    <row r="6103">
      <c r="F6103">
        <f>F6102+1</f>
        <v/>
      </c>
      <c r="G6103" s="92">
        <f>EXP($C$12+$C$8*_xlfn.NORM.S.INV(RAND()))</f>
        <v/>
      </c>
    </row>
    <row r="6104">
      <c r="F6104">
        <f>F6103+1</f>
        <v/>
      </c>
      <c r="G6104" s="92">
        <f>EXP($C$12+$C$8*_xlfn.NORM.S.INV(RAND()))</f>
        <v/>
      </c>
    </row>
    <row r="6105">
      <c r="F6105">
        <f>F6104+1</f>
        <v/>
      </c>
      <c r="G6105" s="92">
        <f>EXP($C$12+$C$8*_xlfn.NORM.S.INV(RAND()))</f>
        <v/>
      </c>
    </row>
    <row r="6106">
      <c r="F6106">
        <f>F6105+1</f>
        <v/>
      </c>
      <c r="G6106" s="92">
        <f>EXP($C$12+$C$8*_xlfn.NORM.S.INV(RAND()))</f>
        <v/>
      </c>
    </row>
    <row r="6107">
      <c r="F6107">
        <f>F6106+1</f>
        <v/>
      </c>
      <c r="G6107" s="92">
        <f>EXP($C$12+$C$8*_xlfn.NORM.S.INV(RAND()))</f>
        <v/>
      </c>
    </row>
    <row r="6108">
      <c r="F6108">
        <f>F6107+1</f>
        <v/>
      </c>
      <c r="G6108" s="92">
        <f>EXP($C$12+$C$8*_xlfn.NORM.S.INV(RAND()))</f>
        <v/>
      </c>
    </row>
    <row r="6109">
      <c r="F6109">
        <f>F6108+1</f>
        <v/>
      </c>
      <c r="G6109" s="92">
        <f>EXP($C$12+$C$8*_xlfn.NORM.S.INV(RAND()))</f>
        <v/>
      </c>
    </row>
    <row r="6110">
      <c r="F6110">
        <f>F6109+1</f>
        <v/>
      </c>
      <c r="G6110" s="92">
        <f>EXP($C$12+$C$8*_xlfn.NORM.S.INV(RAND()))</f>
        <v/>
      </c>
    </row>
    <row r="6111">
      <c r="F6111">
        <f>F6110+1</f>
        <v/>
      </c>
      <c r="G6111" s="92">
        <f>EXP($C$12+$C$8*_xlfn.NORM.S.INV(RAND()))</f>
        <v/>
      </c>
    </row>
    <row r="6112">
      <c r="F6112">
        <f>F6111+1</f>
        <v/>
      </c>
      <c r="G6112" s="92">
        <f>EXP($C$12+$C$8*_xlfn.NORM.S.INV(RAND()))</f>
        <v/>
      </c>
    </row>
    <row r="6113">
      <c r="F6113">
        <f>F6112+1</f>
        <v/>
      </c>
      <c r="G6113" s="92">
        <f>EXP($C$12+$C$8*_xlfn.NORM.S.INV(RAND()))</f>
        <v/>
      </c>
    </row>
    <row r="6114">
      <c r="F6114">
        <f>F6113+1</f>
        <v/>
      </c>
      <c r="G6114" s="92">
        <f>EXP($C$12+$C$8*_xlfn.NORM.S.INV(RAND()))</f>
        <v/>
      </c>
    </row>
    <row r="6115">
      <c r="F6115">
        <f>F6114+1</f>
        <v/>
      </c>
      <c r="G6115" s="92">
        <f>EXP($C$12+$C$8*_xlfn.NORM.S.INV(RAND()))</f>
        <v/>
      </c>
    </row>
    <row r="6116">
      <c r="F6116">
        <f>F6115+1</f>
        <v/>
      </c>
      <c r="G6116" s="92">
        <f>EXP($C$12+$C$8*_xlfn.NORM.S.INV(RAND()))</f>
        <v/>
      </c>
    </row>
    <row r="6117">
      <c r="F6117">
        <f>F6116+1</f>
        <v/>
      </c>
      <c r="G6117" s="92">
        <f>EXP($C$12+$C$8*_xlfn.NORM.S.INV(RAND()))</f>
        <v/>
      </c>
    </row>
    <row r="6118">
      <c r="F6118">
        <f>F6117+1</f>
        <v/>
      </c>
      <c r="G6118" s="92">
        <f>EXP($C$12+$C$8*_xlfn.NORM.S.INV(RAND()))</f>
        <v/>
      </c>
    </row>
    <row r="6119">
      <c r="F6119">
        <f>F6118+1</f>
        <v/>
      </c>
      <c r="G6119" s="92">
        <f>EXP($C$12+$C$8*_xlfn.NORM.S.INV(RAND()))</f>
        <v/>
      </c>
    </row>
    <row r="6120">
      <c r="F6120">
        <f>F6119+1</f>
        <v/>
      </c>
      <c r="G6120" s="92">
        <f>EXP($C$12+$C$8*_xlfn.NORM.S.INV(RAND()))</f>
        <v/>
      </c>
    </row>
    <row r="6121">
      <c r="F6121">
        <f>F6120+1</f>
        <v/>
      </c>
      <c r="G6121" s="92">
        <f>EXP($C$12+$C$8*_xlfn.NORM.S.INV(RAND()))</f>
        <v/>
      </c>
    </row>
    <row r="6122">
      <c r="F6122">
        <f>F6121+1</f>
        <v/>
      </c>
      <c r="G6122" s="92">
        <f>EXP($C$12+$C$8*_xlfn.NORM.S.INV(RAND()))</f>
        <v/>
      </c>
    </row>
    <row r="6123">
      <c r="F6123">
        <f>F6122+1</f>
        <v/>
      </c>
      <c r="G6123" s="92">
        <f>EXP($C$12+$C$8*_xlfn.NORM.S.INV(RAND()))</f>
        <v/>
      </c>
    </row>
    <row r="6124">
      <c r="F6124">
        <f>F6123+1</f>
        <v/>
      </c>
      <c r="G6124" s="92">
        <f>EXP($C$12+$C$8*_xlfn.NORM.S.INV(RAND()))</f>
        <v/>
      </c>
    </row>
    <row r="6125">
      <c r="F6125">
        <f>F6124+1</f>
        <v/>
      </c>
      <c r="G6125" s="92">
        <f>EXP($C$12+$C$8*_xlfn.NORM.S.INV(RAND()))</f>
        <v/>
      </c>
    </row>
    <row r="6126">
      <c r="F6126">
        <f>F6125+1</f>
        <v/>
      </c>
      <c r="G6126" s="92">
        <f>EXP($C$12+$C$8*_xlfn.NORM.S.INV(RAND()))</f>
        <v/>
      </c>
    </row>
    <row r="6127">
      <c r="F6127">
        <f>F6126+1</f>
        <v/>
      </c>
      <c r="G6127" s="92">
        <f>EXP($C$12+$C$8*_xlfn.NORM.S.INV(RAND()))</f>
        <v/>
      </c>
    </row>
    <row r="6128">
      <c r="F6128">
        <f>F6127+1</f>
        <v/>
      </c>
      <c r="G6128" s="92">
        <f>EXP($C$12+$C$8*_xlfn.NORM.S.INV(RAND()))</f>
        <v/>
      </c>
    </row>
    <row r="6129">
      <c r="F6129">
        <f>F6128+1</f>
        <v/>
      </c>
      <c r="G6129" s="92">
        <f>EXP($C$12+$C$8*_xlfn.NORM.S.INV(RAND()))</f>
        <v/>
      </c>
    </row>
    <row r="6130">
      <c r="F6130">
        <f>F6129+1</f>
        <v/>
      </c>
      <c r="G6130" s="92">
        <f>EXP($C$12+$C$8*_xlfn.NORM.S.INV(RAND()))</f>
        <v/>
      </c>
    </row>
    <row r="6131">
      <c r="F6131">
        <f>F6130+1</f>
        <v/>
      </c>
      <c r="G6131" s="92">
        <f>EXP($C$12+$C$8*_xlfn.NORM.S.INV(RAND()))</f>
        <v/>
      </c>
    </row>
    <row r="6132">
      <c r="F6132">
        <f>F6131+1</f>
        <v/>
      </c>
      <c r="G6132" s="92">
        <f>EXP($C$12+$C$8*_xlfn.NORM.S.INV(RAND()))</f>
        <v/>
      </c>
    </row>
    <row r="6133">
      <c r="F6133">
        <f>F6132+1</f>
        <v/>
      </c>
      <c r="G6133" s="92">
        <f>EXP($C$12+$C$8*_xlfn.NORM.S.INV(RAND()))</f>
        <v/>
      </c>
    </row>
    <row r="6134">
      <c r="F6134">
        <f>F6133+1</f>
        <v/>
      </c>
      <c r="G6134" s="92">
        <f>EXP($C$12+$C$8*_xlfn.NORM.S.INV(RAND()))</f>
        <v/>
      </c>
    </row>
    <row r="6135">
      <c r="F6135">
        <f>F6134+1</f>
        <v/>
      </c>
      <c r="G6135" s="92">
        <f>EXP($C$12+$C$8*_xlfn.NORM.S.INV(RAND()))</f>
        <v/>
      </c>
    </row>
    <row r="6136">
      <c r="F6136">
        <f>F6135+1</f>
        <v/>
      </c>
      <c r="G6136" s="92">
        <f>EXP($C$12+$C$8*_xlfn.NORM.S.INV(RAND()))</f>
        <v/>
      </c>
    </row>
    <row r="6137">
      <c r="F6137">
        <f>F6136+1</f>
        <v/>
      </c>
      <c r="G6137" s="92">
        <f>EXP($C$12+$C$8*_xlfn.NORM.S.INV(RAND()))</f>
        <v/>
      </c>
    </row>
    <row r="6138">
      <c r="F6138">
        <f>F6137+1</f>
        <v/>
      </c>
      <c r="G6138" s="92">
        <f>EXP($C$12+$C$8*_xlfn.NORM.S.INV(RAND()))</f>
        <v/>
      </c>
    </row>
    <row r="6139">
      <c r="F6139">
        <f>F6138+1</f>
        <v/>
      </c>
      <c r="G6139" s="92">
        <f>EXP($C$12+$C$8*_xlfn.NORM.S.INV(RAND()))</f>
        <v/>
      </c>
    </row>
    <row r="6140">
      <c r="F6140">
        <f>F6139+1</f>
        <v/>
      </c>
      <c r="G6140" s="92">
        <f>EXP($C$12+$C$8*_xlfn.NORM.S.INV(RAND()))</f>
        <v/>
      </c>
    </row>
    <row r="6141">
      <c r="F6141">
        <f>F6140+1</f>
        <v/>
      </c>
      <c r="G6141" s="92">
        <f>EXP($C$12+$C$8*_xlfn.NORM.S.INV(RAND()))</f>
        <v/>
      </c>
    </row>
    <row r="6142">
      <c r="F6142">
        <f>F6141+1</f>
        <v/>
      </c>
      <c r="G6142" s="92">
        <f>EXP($C$12+$C$8*_xlfn.NORM.S.INV(RAND()))</f>
        <v/>
      </c>
    </row>
    <row r="6143">
      <c r="F6143">
        <f>F6142+1</f>
        <v/>
      </c>
      <c r="G6143" s="92">
        <f>EXP($C$12+$C$8*_xlfn.NORM.S.INV(RAND()))</f>
        <v/>
      </c>
    </row>
    <row r="6144">
      <c r="F6144">
        <f>F6143+1</f>
        <v/>
      </c>
      <c r="G6144" s="92">
        <f>EXP($C$12+$C$8*_xlfn.NORM.S.INV(RAND()))</f>
        <v/>
      </c>
    </row>
    <row r="6145">
      <c r="F6145">
        <f>F6144+1</f>
        <v/>
      </c>
      <c r="G6145" s="92">
        <f>EXP($C$12+$C$8*_xlfn.NORM.S.INV(RAND()))</f>
        <v/>
      </c>
    </row>
    <row r="6146">
      <c r="F6146">
        <f>F6145+1</f>
        <v/>
      </c>
      <c r="G6146" s="92">
        <f>EXP($C$12+$C$8*_xlfn.NORM.S.INV(RAND()))</f>
        <v/>
      </c>
    </row>
    <row r="6147">
      <c r="F6147">
        <f>F6146+1</f>
        <v/>
      </c>
      <c r="G6147" s="92">
        <f>EXP($C$12+$C$8*_xlfn.NORM.S.INV(RAND()))</f>
        <v/>
      </c>
    </row>
    <row r="6148">
      <c r="F6148">
        <f>F6147+1</f>
        <v/>
      </c>
      <c r="G6148" s="92">
        <f>EXP($C$12+$C$8*_xlfn.NORM.S.INV(RAND()))</f>
        <v/>
      </c>
    </row>
    <row r="6149">
      <c r="F6149">
        <f>F6148+1</f>
        <v/>
      </c>
      <c r="G6149" s="92">
        <f>EXP($C$12+$C$8*_xlfn.NORM.S.INV(RAND()))</f>
        <v/>
      </c>
    </row>
    <row r="6150">
      <c r="F6150">
        <f>F6149+1</f>
        <v/>
      </c>
      <c r="G6150" s="92">
        <f>EXP($C$12+$C$8*_xlfn.NORM.S.INV(RAND()))</f>
        <v/>
      </c>
    </row>
    <row r="6151">
      <c r="F6151">
        <f>F6150+1</f>
        <v/>
      </c>
      <c r="G6151" s="92">
        <f>EXP($C$12+$C$8*_xlfn.NORM.S.INV(RAND()))</f>
        <v/>
      </c>
    </row>
    <row r="6152">
      <c r="F6152">
        <f>F6151+1</f>
        <v/>
      </c>
      <c r="G6152" s="92">
        <f>EXP($C$12+$C$8*_xlfn.NORM.S.INV(RAND()))</f>
        <v/>
      </c>
    </row>
    <row r="6153">
      <c r="F6153">
        <f>F6152+1</f>
        <v/>
      </c>
      <c r="G6153" s="92">
        <f>EXP($C$12+$C$8*_xlfn.NORM.S.INV(RAND()))</f>
        <v/>
      </c>
    </row>
    <row r="6154">
      <c r="F6154">
        <f>F6153+1</f>
        <v/>
      </c>
      <c r="G6154" s="92">
        <f>EXP($C$12+$C$8*_xlfn.NORM.S.INV(RAND()))</f>
        <v/>
      </c>
    </row>
    <row r="6155">
      <c r="F6155">
        <f>F6154+1</f>
        <v/>
      </c>
      <c r="G6155" s="92">
        <f>EXP($C$12+$C$8*_xlfn.NORM.S.INV(RAND()))</f>
        <v/>
      </c>
    </row>
    <row r="6156">
      <c r="F6156">
        <f>F6155+1</f>
        <v/>
      </c>
      <c r="G6156" s="92">
        <f>EXP($C$12+$C$8*_xlfn.NORM.S.INV(RAND()))</f>
        <v/>
      </c>
    </row>
    <row r="6157">
      <c r="F6157">
        <f>F6156+1</f>
        <v/>
      </c>
      <c r="G6157" s="92">
        <f>EXP($C$12+$C$8*_xlfn.NORM.S.INV(RAND()))</f>
        <v/>
      </c>
    </row>
    <row r="6158">
      <c r="F6158">
        <f>F6157+1</f>
        <v/>
      </c>
      <c r="G6158" s="92">
        <f>EXP($C$12+$C$8*_xlfn.NORM.S.INV(RAND()))</f>
        <v/>
      </c>
    </row>
    <row r="6159">
      <c r="F6159">
        <f>F6158+1</f>
        <v/>
      </c>
      <c r="G6159" s="92">
        <f>EXP($C$12+$C$8*_xlfn.NORM.S.INV(RAND()))</f>
        <v/>
      </c>
    </row>
    <row r="6160">
      <c r="F6160">
        <f>F6159+1</f>
        <v/>
      </c>
      <c r="G6160" s="92">
        <f>EXP($C$12+$C$8*_xlfn.NORM.S.INV(RAND()))</f>
        <v/>
      </c>
    </row>
    <row r="6161">
      <c r="F6161">
        <f>F6160+1</f>
        <v/>
      </c>
      <c r="G6161" s="92">
        <f>EXP($C$12+$C$8*_xlfn.NORM.S.INV(RAND()))</f>
        <v/>
      </c>
    </row>
    <row r="6162">
      <c r="F6162">
        <f>F6161+1</f>
        <v/>
      </c>
      <c r="G6162" s="92">
        <f>EXP($C$12+$C$8*_xlfn.NORM.S.INV(RAND()))</f>
        <v/>
      </c>
    </row>
    <row r="6163">
      <c r="F6163">
        <f>F6162+1</f>
        <v/>
      </c>
      <c r="G6163" s="92">
        <f>EXP($C$12+$C$8*_xlfn.NORM.S.INV(RAND()))</f>
        <v/>
      </c>
    </row>
    <row r="6164">
      <c r="F6164">
        <f>F6163+1</f>
        <v/>
      </c>
      <c r="G6164" s="92">
        <f>EXP($C$12+$C$8*_xlfn.NORM.S.INV(RAND()))</f>
        <v/>
      </c>
    </row>
    <row r="6165">
      <c r="F6165">
        <f>F6164+1</f>
        <v/>
      </c>
      <c r="G6165" s="92">
        <f>EXP($C$12+$C$8*_xlfn.NORM.S.INV(RAND()))</f>
        <v/>
      </c>
    </row>
    <row r="6166">
      <c r="F6166">
        <f>F6165+1</f>
        <v/>
      </c>
      <c r="G6166" s="92">
        <f>EXP($C$12+$C$8*_xlfn.NORM.S.INV(RAND()))</f>
        <v/>
      </c>
    </row>
    <row r="6167">
      <c r="F6167">
        <f>F6166+1</f>
        <v/>
      </c>
      <c r="G6167" s="92">
        <f>EXP($C$12+$C$8*_xlfn.NORM.S.INV(RAND()))</f>
        <v/>
      </c>
    </row>
    <row r="6168">
      <c r="F6168">
        <f>F6167+1</f>
        <v/>
      </c>
      <c r="G6168" s="92">
        <f>EXP($C$12+$C$8*_xlfn.NORM.S.INV(RAND()))</f>
        <v/>
      </c>
    </row>
    <row r="6169">
      <c r="F6169">
        <f>F6168+1</f>
        <v/>
      </c>
      <c r="G6169" s="92">
        <f>EXP($C$12+$C$8*_xlfn.NORM.S.INV(RAND()))</f>
        <v/>
      </c>
    </row>
    <row r="6170">
      <c r="F6170">
        <f>F6169+1</f>
        <v/>
      </c>
      <c r="G6170" s="92">
        <f>EXP($C$12+$C$8*_xlfn.NORM.S.INV(RAND()))</f>
        <v/>
      </c>
    </row>
    <row r="6171">
      <c r="F6171">
        <f>F6170+1</f>
        <v/>
      </c>
      <c r="G6171" s="92">
        <f>EXP($C$12+$C$8*_xlfn.NORM.S.INV(RAND()))</f>
        <v/>
      </c>
    </row>
    <row r="6172">
      <c r="F6172">
        <f>F6171+1</f>
        <v/>
      </c>
      <c r="G6172" s="92">
        <f>EXP($C$12+$C$8*_xlfn.NORM.S.INV(RAND()))</f>
        <v/>
      </c>
    </row>
    <row r="6173">
      <c r="F6173">
        <f>F6172+1</f>
        <v/>
      </c>
      <c r="G6173" s="92">
        <f>EXP($C$12+$C$8*_xlfn.NORM.S.INV(RAND()))</f>
        <v/>
      </c>
    </row>
    <row r="6174">
      <c r="F6174">
        <f>F6173+1</f>
        <v/>
      </c>
      <c r="G6174" s="92">
        <f>EXP($C$12+$C$8*_xlfn.NORM.S.INV(RAND()))</f>
        <v/>
      </c>
    </row>
    <row r="6175">
      <c r="F6175">
        <f>F6174+1</f>
        <v/>
      </c>
      <c r="G6175" s="92">
        <f>EXP($C$12+$C$8*_xlfn.NORM.S.INV(RAND()))</f>
        <v/>
      </c>
    </row>
    <row r="6176">
      <c r="F6176">
        <f>F6175+1</f>
        <v/>
      </c>
      <c r="G6176" s="92">
        <f>EXP($C$12+$C$8*_xlfn.NORM.S.INV(RAND()))</f>
        <v/>
      </c>
    </row>
    <row r="6177">
      <c r="F6177">
        <f>F6176+1</f>
        <v/>
      </c>
      <c r="G6177" s="92">
        <f>EXP($C$12+$C$8*_xlfn.NORM.S.INV(RAND()))</f>
        <v/>
      </c>
    </row>
    <row r="6178">
      <c r="F6178">
        <f>F6177+1</f>
        <v/>
      </c>
      <c r="G6178" s="92">
        <f>EXP($C$12+$C$8*_xlfn.NORM.S.INV(RAND()))</f>
        <v/>
      </c>
    </row>
    <row r="6179">
      <c r="F6179">
        <f>F6178+1</f>
        <v/>
      </c>
      <c r="G6179" s="92">
        <f>EXP($C$12+$C$8*_xlfn.NORM.S.INV(RAND()))</f>
        <v/>
      </c>
    </row>
    <row r="6180">
      <c r="F6180">
        <f>F6179+1</f>
        <v/>
      </c>
      <c r="G6180" s="92">
        <f>EXP($C$12+$C$8*_xlfn.NORM.S.INV(RAND()))</f>
        <v/>
      </c>
    </row>
    <row r="6181">
      <c r="F6181">
        <f>F6180+1</f>
        <v/>
      </c>
      <c r="G6181" s="92">
        <f>EXP($C$12+$C$8*_xlfn.NORM.S.INV(RAND()))</f>
        <v/>
      </c>
    </row>
    <row r="6182">
      <c r="F6182">
        <f>F6181+1</f>
        <v/>
      </c>
      <c r="G6182" s="92">
        <f>EXP($C$12+$C$8*_xlfn.NORM.S.INV(RAND()))</f>
        <v/>
      </c>
    </row>
    <row r="6183">
      <c r="F6183">
        <f>F6182+1</f>
        <v/>
      </c>
      <c r="G6183" s="92">
        <f>EXP($C$12+$C$8*_xlfn.NORM.S.INV(RAND()))</f>
        <v/>
      </c>
    </row>
    <row r="6184">
      <c r="F6184">
        <f>F6183+1</f>
        <v/>
      </c>
      <c r="G6184" s="92">
        <f>EXP($C$12+$C$8*_xlfn.NORM.S.INV(RAND()))</f>
        <v/>
      </c>
    </row>
    <row r="6185">
      <c r="F6185">
        <f>F6184+1</f>
        <v/>
      </c>
      <c r="G6185" s="92">
        <f>EXP($C$12+$C$8*_xlfn.NORM.S.INV(RAND()))</f>
        <v/>
      </c>
    </row>
    <row r="6186">
      <c r="F6186">
        <f>F6185+1</f>
        <v/>
      </c>
      <c r="G6186" s="92">
        <f>EXP($C$12+$C$8*_xlfn.NORM.S.INV(RAND()))</f>
        <v/>
      </c>
    </row>
    <row r="6187">
      <c r="F6187">
        <f>F6186+1</f>
        <v/>
      </c>
      <c r="G6187" s="92">
        <f>EXP($C$12+$C$8*_xlfn.NORM.S.INV(RAND()))</f>
        <v/>
      </c>
    </row>
    <row r="6188">
      <c r="F6188">
        <f>F6187+1</f>
        <v/>
      </c>
      <c r="G6188" s="92">
        <f>EXP($C$12+$C$8*_xlfn.NORM.S.INV(RAND()))</f>
        <v/>
      </c>
    </row>
    <row r="6189">
      <c r="F6189">
        <f>F6188+1</f>
        <v/>
      </c>
      <c r="G6189" s="92">
        <f>EXP($C$12+$C$8*_xlfn.NORM.S.INV(RAND()))</f>
        <v/>
      </c>
    </row>
    <row r="6190">
      <c r="F6190">
        <f>F6189+1</f>
        <v/>
      </c>
      <c r="G6190" s="92">
        <f>EXP($C$12+$C$8*_xlfn.NORM.S.INV(RAND()))</f>
        <v/>
      </c>
    </row>
    <row r="6191">
      <c r="F6191">
        <f>F6190+1</f>
        <v/>
      </c>
      <c r="G6191" s="92">
        <f>EXP($C$12+$C$8*_xlfn.NORM.S.INV(RAND()))</f>
        <v/>
      </c>
    </row>
    <row r="6192">
      <c r="F6192">
        <f>F6191+1</f>
        <v/>
      </c>
      <c r="G6192" s="92">
        <f>EXP($C$12+$C$8*_xlfn.NORM.S.INV(RAND()))</f>
        <v/>
      </c>
    </row>
    <row r="6193">
      <c r="F6193">
        <f>F6192+1</f>
        <v/>
      </c>
      <c r="G6193" s="92">
        <f>EXP($C$12+$C$8*_xlfn.NORM.S.INV(RAND()))</f>
        <v/>
      </c>
    </row>
    <row r="6194">
      <c r="F6194">
        <f>F6193+1</f>
        <v/>
      </c>
      <c r="G6194" s="92">
        <f>EXP($C$12+$C$8*_xlfn.NORM.S.INV(RAND()))</f>
        <v/>
      </c>
    </row>
    <row r="6195">
      <c r="F6195">
        <f>F6194+1</f>
        <v/>
      </c>
      <c r="G6195" s="92">
        <f>EXP($C$12+$C$8*_xlfn.NORM.S.INV(RAND()))</f>
        <v/>
      </c>
    </row>
    <row r="6196">
      <c r="F6196">
        <f>F6195+1</f>
        <v/>
      </c>
      <c r="G6196" s="92">
        <f>EXP($C$12+$C$8*_xlfn.NORM.S.INV(RAND()))</f>
        <v/>
      </c>
    </row>
    <row r="6197">
      <c r="F6197">
        <f>F6196+1</f>
        <v/>
      </c>
      <c r="G6197" s="92">
        <f>EXP($C$12+$C$8*_xlfn.NORM.S.INV(RAND()))</f>
        <v/>
      </c>
    </row>
    <row r="6198">
      <c r="F6198">
        <f>F6197+1</f>
        <v/>
      </c>
      <c r="G6198" s="92">
        <f>EXP($C$12+$C$8*_xlfn.NORM.S.INV(RAND()))</f>
        <v/>
      </c>
    </row>
    <row r="6199">
      <c r="F6199">
        <f>F6198+1</f>
        <v/>
      </c>
      <c r="G6199" s="92">
        <f>EXP($C$12+$C$8*_xlfn.NORM.S.INV(RAND()))</f>
        <v/>
      </c>
    </row>
    <row r="6200">
      <c r="F6200">
        <f>F6199+1</f>
        <v/>
      </c>
      <c r="G6200" s="92">
        <f>EXP($C$12+$C$8*_xlfn.NORM.S.INV(RAND()))</f>
        <v/>
      </c>
    </row>
    <row r="6201">
      <c r="F6201">
        <f>F6200+1</f>
        <v/>
      </c>
      <c r="G6201" s="92">
        <f>EXP($C$12+$C$8*_xlfn.NORM.S.INV(RAND()))</f>
        <v/>
      </c>
    </row>
    <row r="6202">
      <c r="F6202">
        <f>F6201+1</f>
        <v/>
      </c>
      <c r="G6202" s="92">
        <f>EXP($C$12+$C$8*_xlfn.NORM.S.INV(RAND()))</f>
        <v/>
      </c>
    </row>
    <row r="6203">
      <c r="F6203">
        <f>F6202+1</f>
        <v/>
      </c>
      <c r="G6203" s="92">
        <f>EXP($C$12+$C$8*_xlfn.NORM.S.INV(RAND()))</f>
        <v/>
      </c>
    </row>
    <row r="6204">
      <c r="F6204">
        <f>F6203+1</f>
        <v/>
      </c>
      <c r="G6204" s="92">
        <f>EXP($C$12+$C$8*_xlfn.NORM.S.INV(RAND()))</f>
        <v/>
      </c>
    </row>
    <row r="6205">
      <c r="F6205">
        <f>F6204+1</f>
        <v/>
      </c>
      <c r="G6205" s="92">
        <f>EXP($C$12+$C$8*_xlfn.NORM.S.INV(RAND()))</f>
        <v/>
      </c>
    </row>
    <row r="6206">
      <c r="F6206">
        <f>F6205+1</f>
        <v/>
      </c>
      <c r="G6206" s="92">
        <f>EXP($C$12+$C$8*_xlfn.NORM.S.INV(RAND()))</f>
        <v/>
      </c>
    </row>
    <row r="6207">
      <c r="F6207">
        <f>F6206+1</f>
        <v/>
      </c>
      <c r="G6207" s="92">
        <f>EXP($C$12+$C$8*_xlfn.NORM.S.INV(RAND()))</f>
        <v/>
      </c>
    </row>
    <row r="6208">
      <c r="F6208">
        <f>F6207+1</f>
        <v/>
      </c>
      <c r="G6208" s="92">
        <f>EXP($C$12+$C$8*_xlfn.NORM.S.INV(RAND()))</f>
        <v/>
      </c>
    </row>
    <row r="6209">
      <c r="F6209">
        <f>F6208+1</f>
        <v/>
      </c>
      <c r="G6209" s="92">
        <f>EXP($C$12+$C$8*_xlfn.NORM.S.INV(RAND()))</f>
        <v/>
      </c>
    </row>
    <row r="6210">
      <c r="F6210">
        <f>F6209+1</f>
        <v/>
      </c>
      <c r="G6210" s="92">
        <f>EXP($C$12+$C$8*_xlfn.NORM.S.INV(RAND()))</f>
        <v/>
      </c>
    </row>
    <row r="6211">
      <c r="F6211">
        <f>F6210+1</f>
        <v/>
      </c>
      <c r="G6211" s="92">
        <f>EXP($C$12+$C$8*_xlfn.NORM.S.INV(RAND()))</f>
        <v/>
      </c>
    </row>
    <row r="6212">
      <c r="F6212">
        <f>F6211+1</f>
        <v/>
      </c>
      <c r="G6212" s="92">
        <f>EXP($C$12+$C$8*_xlfn.NORM.S.INV(RAND()))</f>
        <v/>
      </c>
    </row>
    <row r="6213">
      <c r="F6213">
        <f>F6212+1</f>
        <v/>
      </c>
      <c r="G6213" s="92">
        <f>EXP($C$12+$C$8*_xlfn.NORM.S.INV(RAND()))</f>
        <v/>
      </c>
    </row>
    <row r="6214">
      <c r="F6214">
        <f>F6213+1</f>
        <v/>
      </c>
      <c r="G6214" s="92">
        <f>EXP($C$12+$C$8*_xlfn.NORM.S.INV(RAND()))</f>
        <v/>
      </c>
    </row>
    <row r="6215">
      <c r="F6215">
        <f>F6214+1</f>
        <v/>
      </c>
      <c r="G6215" s="92">
        <f>EXP($C$12+$C$8*_xlfn.NORM.S.INV(RAND()))</f>
        <v/>
      </c>
    </row>
    <row r="6216">
      <c r="F6216">
        <f>F6215+1</f>
        <v/>
      </c>
      <c r="G6216" s="92">
        <f>EXP($C$12+$C$8*_xlfn.NORM.S.INV(RAND()))</f>
        <v/>
      </c>
    </row>
    <row r="6217">
      <c r="F6217">
        <f>F6216+1</f>
        <v/>
      </c>
      <c r="G6217" s="92">
        <f>EXP($C$12+$C$8*_xlfn.NORM.S.INV(RAND()))</f>
        <v/>
      </c>
    </row>
    <row r="6218">
      <c r="F6218">
        <f>F6217+1</f>
        <v/>
      </c>
      <c r="G6218" s="92">
        <f>EXP($C$12+$C$8*_xlfn.NORM.S.INV(RAND()))</f>
        <v/>
      </c>
    </row>
    <row r="6219">
      <c r="F6219">
        <f>F6218+1</f>
        <v/>
      </c>
      <c r="G6219" s="92">
        <f>EXP($C$12+$C$8*_xlfn.NORM.S.INV(RAND()))</f>
        <v/>
      </c>
    </row>
    <row r="6220">
      <c r="F6220">
        <f>F6219+1</f>
        <v/>
      </c>
      <c r="G6220" s="92">
        <f>EXP($C$12+$C$8*_xlfn.NORM.S.INV(RAND()))</f>
        <v/>
      </c>
    </row>
    <row r="6221">
      <c r="F6221">
        <f>F6220+1</f>
        <v/>
      </c>
      <c r="G6221" s="92">
        <f>EXP($C$12+$C$8*_xlfn.NORM.S.INV(RAND()))</f>
        <v/>
      </c>
    </row>
    <row r="6222">
      <c r="F6222">
        <f>F6221+1</f>
        <v/>
      </c>
      <c r="G6222" s="92">
        <f>EXP($C$12+$C$8*_xlfn.NORM.S.INV(RAND()))</f>
        <v/>
      </c>
    </row>
    <row r="6223">
      <c r="F6223">
        <f>F6222+1</f>
        <v/>
      </c>
      <c r="G6223" s="92">
        <f>EXP($C$12+$C$8*_xlfn.NORM.S.INV(RAND()))</f>
        <v/>
      </c>
    </row>
    <row r="6224">
      <c r="F6224">
        <f>F6223+1</f>
        <v/>
      </c>
      <c r="G6224" s="92">
        <f>EXP($C$12+$C$8*_xlfn.NORM.S.INV(RAND()))</f>
        <v/>
      </c>
    </row>
    <row r="6225">
      <c r="F6225">
        <f>F6224+1</f>
        <v/>
      </c>
      <c r="G6225" s="92">
        <f>EXP($C$12+$C$8*_xlfn.NORM.S.INV(RAND()))</f>
        <v/>
      </c>
    </row>
    <row r="6226">
      <c r="F6226">
        <f>F6225+1</f>
        <v/>
      </c>
      <c r="G6226" s="92">
        <f>EXP($C$12+$C$8*_xlfn.NORM.S.INV(RAND()))</f>
        <v/>
      </c>
    </row>
    <row r="6227">
      <c r="F6227">
        <f>F6226+1</f>
        <v/>
      </c>
      <c r="G6227" s="92">
        <f>EXP($C$12+$C$8*_xlfn.NORM.S.INV(RAND()))</f>
        <v/>
      </c>
    </row>
    <row r="6228">
      <c r="F6228">
        <f>F6227+1</f>
        <v/>
      </c>
      <c r="G6228" s="92">
        <f>EXP($C$12+$C$8*_xlfn.NORM.S.INV(RAND()))</f>
        <v/>
      </c>
    </row>
    <row r="6229">
      <c r="F6229">
        <f>F6228+1</f>
        <v/>
      </c>
      <c r="G6229" s="92">
        <f>EXP($C$12+$C$8*_xlfn.NORM.S.INV(RAND()))</f>
        <v/>
      </c>
    </row>
    <row r="6230">
      <c r="F6230">
        <f>F6229+1</f>
        <v/>
      </c>
      <c r="G6230" s="92">
        <f>EXP($C$12+$C$8*_xlfn.NORM.S.INV(RAND()))</f>
        <v/>
      </c>
    </row>
    <row r="6231">
      <c r="F6231">
        <f>F6230+1</f>
        <v/>
      </c>
      <c r="G6231" s="92">
        <f>EXP($C$12+$C$8*_xlfn.NORM.S.INV(RAND()))</f>
        <v/>
      </c>
    </row>
    <row r="6232">
      <c r="F6232">
        <f>F6231+1</f>
        <v/>
      </c>
      <c r="G6232" s="92">
        <f>EXP($C$12+$C$8*_xlfn.NORM.S.INV(RAND()))</f>
        <v/>
      </c>
    </row>
    <row r="6233">
      <c r="F6233">
        <f>F6232+1</f>
        <v/>
      </c>
      <c r="G6233" s="92">
        <f>EXP($C$12+$C$8*_xlfn.NORM.S.INV(RAND()))</f>
        <v/>
      </c>
    </row>
    <row r="6234">
      <c r="F6234">
        <f>F6233+1</f>
        <v/>
      </c>
      <c r="G6234" s="92">
        <f>EXP($C$12+$C$8*_xlfn.NORM.S.INV(RAND()))</f>
        <v/>
      </c>
    </row>
    <row r="6235">
      <c r="F6235">
        <f>F6234+1</f>
        <v/>
      </c>
      <c r="G6235" s="92">
        <f>EXP($C$12+$C$8*_xlfn.NORM.S.INV(RAND()))</f>
        <v/>
      </c>
    </row>
    <row r="6236">
      <c r="F6236">
        <f>F6235+1</f>
        <v/>
      </c>
      <c r="G6236" s="92">
        <f>EXP($C$12+$C$8*_xlfn.NORM.S.INV(RAND()))</f>
        <v/>
      </c>
    </row>
    <row r="6237">
      <c r="F6237">
        <f>F6236+1</f>
        <v/>
      </c>
      <c r="G6237" s="92">
        <f>EXP($C$12+$C$8*_xlfn.NORM.S.INV(RAND()))</f>
        <v/>
      </c>
    </row>
    <row r="6238">
      <c r="F6238">
        <f>F6237+1</f>
        <v/>
      </c>
      <c r="G6238" s="92">
        <f>EXP($C$12+$C$8*_xlfn.NORM.S.INV(RAND()))</f>
        <v/>
      </c>
    </row>
    <row r="6239">
      <c r="F6239">
        <f>F6238+1</f>
        <v/>
      </c>
      <c r="G6239" s="92">
        <f>EXP($C$12+$C$8*_xlfn.NORM.S.INV(RAND()))</f>
        <v/>
      </c>
    </row>
    <row r="6240">
      <c r="F6240">
        <f>F6239+1</f>
        <v/>
      </c>
      <c r="G6240" s="92">
        <f>EXP($C$12+$C$8*_xlfn.NORM.S.INV(RAND()))</f>
        <v/>
      </c>
    </row>
    <row r="6241">
      <c r="F6241">
        <f>F6240+1</f>
        <v/>
      </c>
      <c r="G6241" s="92">
        <f>EXP($C$12+$C$8*_xlfn.NORM.S.INV(RAND()))</f>
        <v/>
      </c>
    </row>
    <row r="6242">
      <c r="F6242">
        <f>F6241+1</f>
        <v/>
      </c>
      <c r="G6242" s="92">
        <f>EXP($C$12+$C$8*_xlfn.NORM.S.INV(RAND()))</f>
        <v/>
      </c>
    </row>
    <row r="6243">
      <c r="F6243">
        <f>F6242+1</f>
        <v/>
      </c>
      <c r="G6243" s="92">
        <f>EXP($C$12+$C$8*_xlfn.NORM.S.INV(RAND()))</f>
        <v/>
      </c>
    </row>
    <row r="6244">
      <c r="F6244">
        <f>F6243+1</f>
        <v/>
      </c>
      <c r="G6244" s="92">
        <f>EXP($C$12+$C$8*_xlfn.NORM.S.INV(RAND()))</f>
        <v/>
      </c>
    </row>
    <row r="6245">
      <c r="F6245">
        <f>F6244+1</f>
        <v/>
      </c>
      <c r="G6245" s="92">
        <f>EXP($C$12+$C$8*_xlfn.NORM.S.INV(RAND()))</f>
        <v/>
      </c>
    </row>
    <row r="6246">
      <c r="F6246">
        <f>F6245+1</f>
        <v/>
      </c>
      <c r="G6246" s="92">
        <f>EXP($C$12+$C$8*_xlfn.NORM.S.INV(RAND()))</f>
        <v/>
      </c>
    </row>
    <row r="6247">
      <c r="F6247">
        <f>F6246+1</f>
        <v/>
      </c>
      <c r="G6247" s="92">
        <f>EXP($C$12+$C$8*_xlfn.NORM.S.INV(RAND()))</f>
        <v/>
      </c>
    </row>
    <row r="6248">
      <c r="F6248">
        <f>F6247+1</f>
        <v/>
      </c>
      <c r="G6248" s="92">
        <f>EXP($C$12+$C$8*_xlfn.NORM.S.INV(RAND()))</f>
        <v/>
      </c>
    </row>
    <row r="6249">
      <c r="F6249">
        <f>F6248+1</f>
        <v/>
      </c>
      <c r="G6249" s="92">
        <f>EXP($C$12+$C$8*_xlfn.NORM.S.INV(RAND()))</f>
        <v/>
      </c>
    </row>
    <row r="6250">
      <c r="F6250">
        <f>F6249+1</f>
        <v/>
      </c>
      <c r="G6250" s="92">
        <f>EXP($C$12+$C$8*_xlfn.NORM.S.INV(RAND()))</f>
        <v/>
      </c>
    </row>
    <row r="6251">
      <c r="F6251">
        <f>F6250+1</f>
        <v/>
      </c>
      <c r="G6251" s="92">
        <f>EXP($C$12+$C$8*_xlfn.NORM.S.INV(RAND()))</f>
        <v/>
      </c>
    </row>
    <row r="6252">
      <c r="F6252">
        <f>F6251+1</f>
        <v/>
      </c>
      <c r="G6252" s="92">
        <f>EXP($C$12+$C$8*_xlfn.NORM.S.INV(RAND()))</f>
        <v/>
      </c>
    </row>
    <row r="6253">
      <c r="F6253">
        <f>F6252+1</f>
        <v/>
      </c>
      <c r="G6253" s="92">
        <f>EXP($C$12+$C$8*_xlfn.NORM.S.INV(RAND()))</f>
        <v/>
      </c>
    </row>
    <row r="6254">
      <c r="F6254">
        <f>F6253+1</f>
        <v/>
      </c>
      <c r="G6254" s="92">
        <f>EXP($C$12+$C$8*_xlfn.NORM.S.INV(RAND()))</f>
        <v/>
      </c>
    </row>
    <row r="6255">
      <c r="F6255">
        <f>F6254+1</f>
        <v/>
      </c>
      <c r="G6255" s="92">
        <f>EXP($C$12+$C$8*_xlfn.NORM.S.INV(RAND()))</f>
        <v/>
      </c>
    </row>
    <row r="6256">
      <c r="F6256">
        <f>F6255+1</f>
        <v/>
      </c>
      <c r="G6256" s="92">
        <f>EXP($C$12+$C$8*_xlfn.NORM.S.INV(RAND()))</f>
        <v/>
      </c>
    </row>
    <row r="6257">
      <c r="F6257">
        <f>F6256+1</f>
        <v/>
      </c>
      <c r="G6257" s="92">
        <f>EXP($C$12+$C$8*_xlfn.NORM.S.INV(RAND()))</f>
        <v/>
      </c>
    </row>
    <row r="6258">
      <c r="F6258">
        <f>F6257+1</f>
        <v/>
      </c>
      <c r="G6258" s="92">
        <f>EXP($C$12+$C$8*_xlfn.NORM.S.INV(RAND()))</f>
        <v/>
      </c>
    </row>
    <row r="6259">
      <c r="F6259">
        <f>F6258+1</f>
        <v/>
      </c>
      <c r="G6259" s="92">
        <f>EXP($C$12+$C$8*_xlfn.NORM.S.INV(RAND()))</f>
        <v/>
      </c>
    </row>
    <row r="6260">
      <c r="F6260">
        <f>F6259+1</f>
        <v/>
      </c>
      <c r="G6260" s="92">
        <f>EXP($C$12+$C$8*_xlfn.NORM.S.INV(RAND()))</f>
        <v/>
      </c>
    </row>
    <row r="6261">
      <c r="F6261">
        <f>F6260+1</f>
        <v/>
      </c>
      <c r="G6261" s="92">
        <f>EXP($C$12+$C$8*_xlfn.NORM.S.INV(RAND()))</f>
        <v/>
      </c>
    </row>
    <row r="6262">
      <c r="F6262">
        <f>F6261+1</f>
        <v/>
      </c>
      <c r="G6262" s="92">
        <f>EXP($C$12+$C$8*_xlfn.NORM.S.INV(RAND()))</f>
        <v/>
      </c>
    </row>
    <row r="6263">
      <c r="F6263">
        <f>F6262+1</f>
        <v/>
      </c>
      <c r="G6263" s="92">
        <f>EXP($C$12+$C$8*_xlfn.NORM.S.INV(RAND()))</f>
        <v/>
      </c>
    </row>
    <row r="6264">
      <c r="F6264">
        <f>F6263+1</f>
        <v/>
      </c>
      <c r="G6264" s="92">
        <f>EXP($C$12+$C$8*_xlfn.NORM.S.INV(RAND()))</f>
        <v/>
      </c>
    </row>
    <row r="6265">
      <c r="F6265">
        <f>F6264+1</f>
        <v/>
      </c>
      <c r="G6265" s="92">
        <f>EXP($C$12+$C$8*_xlfn.NORM.S.INV(RAND()))</f>
        <v/>
      </c>
    </row>
    <row r="6266">
      <c r="F6266">
        <f>F6265+1</f>
        <v/>
      </c>
      <c r="G6266" s="92">
        <f>EXP($C$12+$C$8*_xlfn.NORM.S.INV(RAND()))</f>
        <v/>
      </c>
    </row>
    <row r="6267">
      <c r="F6267">
        <f>F6266+1</f>
        <v/>
      </c>
      <c r="G6267" s="92">
        <f>EXP($C$12+$C$8*_xlfn.NORM.S.INV(RAND()))</f>
        <v/>
      </c>
    </row>
    <row r="6268">
      <c r="F6268">
        <f>F6267+1</f>
        <v/>
      </c>
      <c r="G6268" s="92">
        <f>EXP($C$12+$C$8*_xlfn.NORM.S.INV(RAND()))</f>
        <v/>
      </c>
    </row>
    <row r="6269">
      <c r="F6269">
        <f>F6268+1</f>
        <v/>
      </c>
      <c r="G6269" s="92">
        <f>EXP($C$12+$C$8*_xlfn.NORM.S.INV(RAND()))</f>
        <v/>
      </c>
    </row>
    <row r="6270">
      <c r="F6270">
        <f>F6269+1</f>
        <v/>
      </c>
      <c r="G6270" s="92">
        <f>EXP($C$12+$C$8*_xlfn.NORM.S.INV(RAND()))</f>
        <v/>
      </c>
    </row>
    <row r="6271">
      <c r="F6271">
        <f>F6270+1</f>
        <v/>
      </c>
      <c r="G6271" s="92">
        <f>EXP($C$12+$C$8*_xlfn.NORM.S.INV(RAND()))</f>
        <v/>
      </c>
    </row>
    <row r="6272">
      <c r="F6272">
        <f>F6271+1</f>
        <v/>
      </c>
      <c r="G6272" s="92">
        <f>EXP($C$12+$C$8*_xlfn.NORM.S.INV(RAND()))</f>
        <v/>
      </c>
    </row>
    <row r="6273">
      <c r="F6273">
        <f>F6272+1</f>
        <v/>
      </c>
      <c r="G6273" s="92">
        <f>EXP($C$12+$C$8*_xlfn.NORM.S.INV(RAND()))</f>
        <v/>
      </c>
    </row>
    <row r="6274">
      <c r="F6274">
        <f>F6273+1</f>
        <v/>
      </c>
      <c r="G6274" s="92">
        <f>EXP($C$12+$C$8*_xlfn.NORM.S.INV(RAND()))</f>
        <v/>
      </c>
    </row>
    <row r="6275">
      <c r="F6275">
        <f>F6274+1</f>
        <v/>
      </c>
      <c r="G6275" s="92">
        <f>EXP($C$12+$C$8*_xlfn.NORM.S.INV(RAND()))</f>
        <v/>
      </c>
    </row>
    <row r="6276">
      <c r="F6276">
        <f>F6275+1</f>
        <v/>
      </c>
      <c r="G6276" s="92">
        <f>EXP($C$12+$C$8*_xlfn.NORM.S.INV(RAND()))</f>
        <v/>
      </c>
    </row>
    <row r="6277">
      <c r="F6277">
        <f>F6276+1</f>
        <v/>
      </c>
      <c r="G6277" s="92">
        <f>EXP($C$12+$C$8*_xlfn.NORM.S.INV(RAND()))</f>
        <v/>
      </c>
    </row>
    <row r="6278">
      <c r="F6278">
        <f>F6277+1</f>
        <v/>
      </c>
      <c r="G6278" s="92">
        <f>EXP($C$12+$C$8*_xlfn.NORM.S.INV(RAND()))</f>
        <v/>
      </c>
    </row>
    <row r="6279">
      <c r="F6279">
        <f>F6278+1</f>
        <v/>
      </c>
      <c r="G6279" s="92">
        <f>EXP($C$12+$C$8*_xlfn.NORM.S.INV(RAND()))</f>
        <v/>
      </c>
    </row>
    <row r="6280">
      <c r="F6280">
        <f>F6279+1</f>
        <v/>
      </c>
      <c r="G6280" s="92">
        <f>EXP($C$12+$C$8*_xlfn.NORM.S.INV(RAND()))</f>
        <v/>
      </c>
    </row>
    <row r="6281">
      <c r="F6281">
        <f>F6280+1</f>
        <v/>
      </c>
      <c r="G6281" s="92">
        <f>EXP($C$12+$C$8*_xlfn.NORM.S.INV(RAND()))</f>
        <v/>
      </c>
    </row>
    <row r="6282">
      <c r="F6282">
        <f>F6281+1</f>
        <v/>
      </c>
      <c r="G6282" s="92">
        <f>EXP($C$12+$C$8*_xlfn.NORM.S.INV(RAND()))</f>
        <v/>
      </c>
    </row>
    <row r="6283">
      <c r="F6283">
        <f>F6282+1</f>
        <v/>
      </c>
      <c r="G6283" s="92">
        <f>EXP($C$12+$C$8*_xlfn.NORM.S.INV(RAND()))</f>
        <v/>
      </c>
    </row>
    <row r="6284">
      <c r="F6284">
        <f>F6283+1</f>
        <v/>
      </c>
      <c r="G6284" s="92">
        <f>EXP($C$12+$C$8*_xlfn.NORM.S.INV(RAND()))</f>
        <v/>
      </c>
    </row>
    <row r="6285">
      <c r="F6285">
        <f>F6284+1</f>
        <v/>
      </c>
      <c r="G6285" s="92">
        <f>EXP($C$12+$C$8*_xlfn.NORM.S.INV(RAND()))</f>
        <v/>
      </c>
    </row>
    <row r="6286">
      <c r="F6286">
        <f>F6285+1</f>
        <v/>
      </c>
      <c r="G6286" s="92">
        <f>EXP($C$12+$C$8*_xlfn.NORM.S.INV(RAND()))</f>
        <v/>
      </c>
    </row>
    <row r="6287">
      <c r="F6287">
        <f>F6286+1</f>
        <v/>
      </c>
      <c r="G6287" s="92">
        <f>EXP($C$12+$C$8*_xlfn.NORM.S.INV(RAND()))</f>
        <v/>
      </c>
    </row>
    <row r="6288">
      <c r="F6288">
        <f>F6287+1</f>
        <v/>
      </c>
      <c r="G6288" s="92">
        <f>EXP($C$12+$C$8*_xlfn.NORM.S.INV(RAND()))</f>
        <v/>
      </c>
    </row>
    <row r="6289">
      <c r="F6289">
        <f>F6288+1</f>
        <v/>
      </c>
      <c r="G6289" s="92">
        <f>EXP($C$12+$C$8*_xlfn.NORM.S.INV(RAND()))</f>
        <v/>
      </c>
    </row>
    <row r="6290">
      <c r="F6290">
        <f>F6289+1</f>
        <v/>
      </c>
      <c r="G6290" s="92">
        <f>EXP($C$12+$C$8*_xlfn.NORM.S.INV(RAND()))</f>
        <v/>
      </c>
    </row>
    <row r="6291">
      <c r="F6291">
        <f>F6290+1</f>
        <v/>
      </c>
      <c r="G6291" s="92">
        <f>EXP($C$12+$C$8*_xlfn.NORM.S.INV(RAND()))</f>
        <v/>
      </c>
    </row>
    <row r="6292">
      <c r="F6292">
        <f>F6291+1</f>
        <v/>
      </c>
      <c r="G6292" s="92">
        <f>EXP($C$12+$C$8*_xlfn.NORM.S.INV(RAND()))</f>
        <v/>
      </c>
    </row>
    <row r="6293">
      <c r="F6293">
        <f>F6292+1</f>
        <v/>
      </c>
      <c r="G6293" s="92">
        <f>EXP($C$12+$C$8*_xlfn.NORM.S.INV(RAND()))</f>
        <v/>
      </c>
    </row>
    <row r="6294">
      <c r="F6294">
        <f>F6293+1</f>
        <v/>
      </c>
      <c r="G6294" s="92">
        <f>EXP($C$12+$C$8*_xlfn.NORM.S.INV(RAND()))</f>
        <v/>
      </c>
    </row>
    <row r="6295">
      <c r="F6295">
        <f>F6294+1</f>
        <v/>
      </c>
      <c r="G6295" s="92">
        <f>EXP($C$12+$C$8*_xlfn.NORM.S.INV(RAND()))</f>
        <v/>
      </c>
    </row>
    <row r="6296">
      <c r="F6296">
        <f>F6295+1</f>
        <v/>
      </c>
      <c r="G6296" s="92">
        <f>EXP($C$12+$C$8*_xlfn.NORM.S.INV(RAND()))</f>
        <v/>
      </c>
    </row>
    <row r="6297">
      <c r="F6297">
        <f>F6296+1</f>
        <v/>
      </c>
      <c r="G6297" s="92">
        <f>EXP($C$12+$C$8*_xlfn.NORM.S.INV(RAND()))</f>
        <v/>
      </c>
    </row>
    <row r="6298">
      <c r="F6298">
        <f>F6297+1</f>
        <v/>
      </c>
      <c r="G6298" s="92">
        <f>EXP($C$12+$C$8*_xlfn.NORM.S.INV(RAND()))</f>
        <v/>
      </c>
    </row>
    <row r="6299">
      <c r="F6299">
        <f>F6298+1</f>
        <v/>
      </c>
      <c r="G6299" s="92">
        <f>EXP($C$12+$C$8*_xlfn.NORM.S.INV(RAND()))</f>
        <v/>
      </c>
    </row>
    <row r="6300">
      <c r="F6300">
        <f>F6299+1</f>
        <v/>
      </c>
      <c r="G6300" s="92">
        <f>EXP($C$12+$C$8*_xlfn.NORM.S.INV(RAND()))</f>
        <v/>
      </c>
    </row>
    <row r="6301">
      <c r="F6301">
        <f>F6300+1</f>
        <v/>
      </c>
      <c r="G6301" s="92">
        <f>EXP($C$12+$C$8*_xlfn.NORM.S.INV(RAND()))</f>
        <v/>
      </c>
    </row>
    <row r="6302">
      <c r="F6302">
        <f>F6301+1</f>
        <v/>
      </c>
      <c r="G6302" s="92">
        <f>EXP($C$12+$C$8*_xlfn.NORM.S.INV(RAND()))</f>
        <v/>
      </c>
    </row>
    <row r="6303">
      <c r="F6303">
        <f>F6302+1</f>
        <v/>
      </c>
      <c r="G6303" s="92">
        <f>EXP($C$12+$C$8*_xlfn.NORM.S.INV(RAND()))</f>
        <v/>
      </c>
    </row>
    <row r="6304">
      <c r="F6304">
        <f>F6303+1</f>
        <v/>
      </c>
      <c r="G6304" s="92">
        <f>EXP($C$12+$C$8*_xlfn.NORM.S.INV(RAND()))</f>
        <v/>
      </c>
    </row>
    <row r="6305">
      <c r="F6305">
        <f>F6304+1</f>
        <v/>
      </c>
      <c r="G6305" s="92">
        <f>EXP($C$12+$C$8*_xlfn.NORM.S.INV(RAND()))</f>
        <v/>
      </c>
    </row>
    <row r="6306">
      <c r="F6306">
        <f>F6305+1</f>
        <v/>
      </c>
      <c r="G6306" s="92">
        <f>EXP($C$12+$C$8*_xlfn.NORM.S.INV(RAND()))</f>
        <v/>
      </c>
    </row>
    <row r="6307">
      <c r="F6307">
        <f>F6306+1</f>
        <v/>
      </c>
      <c r="G6307" s="92">
        <f>EXP($C$12+$C$8*_xlfn.NORM.S.INV(RAND()))</f>
        <v/>
      </c>
    </row>
    <row r="6308">
      <c r="F6308">
        <f>F6307+1</f>
        <v/>
      </c>
      <c r="G6308" s="92">
        <f>EXP($C$12+$C$8*_xlfn.NORM.S.INV(RAND()))</f>
        <v/>
      </c>
    </row>
    <row r="6309">
      <c r="F6309">
        <f>F6308+1</f>
        <v/>
      </c>
      <c r="G6309" s="92">
        <f>EXP($C$12+$C$8*_xlfn.NORM.S.INV(RAND()))</f>
        <v/>
      </c>
    </row>
    <row r="6310">
      <c r="F6310">
        <f>F6309+1</f>
        <v/>
      </c>
      <c r="G6310" s="92">
        <f>EXP($C$12+$C$8*_xlfn.NORM.S.INV(RAND()))</f>
        <v/>
      </c>
    </row>
    <row r="6311">
      <c r="F6311">
        <f>F6310+1</f>
        <v/>
      </c>
      <c r="G6311" s="92">
        <f>EXP($C$12+$C$8*_xlfn.NORM.S.INV(RAND()))</f>
        <v/>
      </c>
    </row>
    <row r="6312">
      <c r="F6312">
        <f>F6311+1</f>
        <v/>
      </c>
      <c r="G6312" s="92">
        <f>EXP($C$12+$C$8*_xlfn.NORM.S.INV(RAND()))</f>
        <v/>
      </c>
    </row>
    <row r="6313">
      <c r="F6313">
        <f>F6312+1</f>
        <v/>
      </c>
      <c r="G6313" s="92">
        <f>EXP($C$12+$C$8*_xlfn.NORM.S.INV(RAND()))</f>
        <v/>
      </c>
    </row>
    <row r="6314">
      <c r="F6314">
        <f>F6313+1</f>
        <v/>
      </c>
      <c r="G6314" s="92">
        <f>EXP($C$12+$C$8*_xlfn.NORM.S.INV(RAND()))</f>
        <v/>
      </c>
    </row>
    <row r="6315">
      <c r="F6315">
        <f>F6314+1</f>
        <v/>
      </c>
      <c r="G6315" s="92">
        <f>EXP($C$12+$C$8*_xlfn.NORM.S.INV(RAND()))</f>
        <v/>
      </c>
    </row>
    <row r="6316">
      <c r="F6316">
        <f>F6315+1</f>
        <v/>
      </c>
      <c r="G6316" s="92">
        <f>EXP($C$12+$C$8*_xlfn.NORM.S.INV(RAND()))</f>
        <v/>
      </c>
    </row>
    <row r="6317">
      <c r="F6317">
        <f>F6316+1</f>
        <v/>
      </c>
      <c r="G6317" s="92">
        <f>EXP($C$12+$C$8*_xlfn.NORM.S.INV(RAND()))</f>
        <v/>
      </c>
    </row>
    <row r="6318">
      <c r="F6318">
        <f>F6317+1</f>
        <v/>
      </c>
      <c r="G6318" s="92">
        <f>EXP($C$12+$C$8*_xlfn.NORM.S.INV(RAND()))</f>
        <v/>
      </c>
    </row>
    <row r="6319">
      <c r="F6319">
        <f>F6318+1</f>
        <v/>
      </c>
      <c r="G6319" s="92">
        <f>EXP($C$12+$C$8*_xlfn.NORM.S.INV(RAND()))</f>
        <v/>
      </c>
    </row>
    <row r="6320">
      <c r="F6320">
        <f>F6319+1</f>
        <v/>
      </c>
      <c r="G6320" s="92">
        <f>EXP($C$12+$C$8*_xlfn.NORM.S.INV(RAND()))</f>
        <v/>
      </c>
    </row>
    <row r="6321">
      <c r="F6321">
        <f>F6320+1</f>
        <v/>
      </c>
      <c r="G6321" s="92">
        <f>EXP($C$12+$C$8*_xlfn.NORM.S.INV(RAND()))</f>
        <v/>
      </c>
    </row>
    <row r="6322">
      <c r="F6322">
        <f>F6321+1</f>
        <v/>
      </c>
      <c r="G6322" s="92">
        <f>EXP($C$12+$C$8*_xlfn.NORM.S.INV(RAND()))</f>
        <v/>
      </c>
    </row>
    <row r="6323">
      <c r="F6323">
        <f>F6322+1</f>
        <v/>
      </c>
      <c r="G6323" s="92">
        <f>EXP($C$12+$C$8*_xlfn.NORM.S.INV(RAND()))</f>
        <v/>
      </c>
    </row>
    <row r="6324">
      <c r="F6324">
        <f>F6323+1</f>
        <v/>
      </c>
      <c r="G6324" s="92">
        <f>EXP($C$12+$C$8*_xlfn.NORM.S.INV(RAND()))</f>
        <v/>
      </c>
    </row>
    <row r="6325">
      <c r="F6325">
        <f>F6324+1</f>
        <v/>
      </c>
      <c r="G6325" s="92">
        <f>EXP($C$12+$C$8*_xlfn.NORM.S.INV(RAND()))</f>
        <v/>
      </c>
    </row>
    <row r="6326">
      <c r="F6326">
        <f>F6325+1</f>
        <v/>
      </c>
      <c r="G6326" s="92">
        <f>EXP($C$12+$C$8*_xlfn.NORM.S.INV(RAND()))</f>
        <v/>
      </c>
    </row>
    <row r="6327">
      <c r="F6327">
        <f>F6326+1</f>
        <v/>
      </c>
      <c r="G6327" s="92">
        <f>EXP($C$12+$C$8*_xlfn.NORM.S.INV(RAND()))</f>
        <v/>
      </c>
    </row>
    <row r="6328">
      <c r="F6328">
        <f>F6327+1</f>
        <v/>
      </c>
      <c r="G6328" s="92">
        <f>EXP($C$12+$C$8*_xlfn.NORM.S.INV(RAND()))</f>
        <v/>
      </c>
    </row>
    <row r="6329">
      <c r="F6329">
        <f>F6328+1</f>
        <v/>
      </c>
      <c r="G6329" s="92">
        <f>EXP($C$12+$C$8*_xlfn.NORM.S.INV(RAND()))</f>
        <v/>
      </c>
    </row>
    <row r="6330">
      <c r="F6330">
        <f>F6329+1</f>
        <v/>
      </c>
      <c r="G6330" s="92">
        <f>EXP($C$12+$C$8*_xlfn.NORM.S.INV(RAND()))</f>
        <v/>
      </c>
    </row>
    <row r="6331">
      <c r="F6331">
        <f>F6330+1</f>
        <v/>
      </c>
      <c r="G6331" s="92">
        <f>EXP($C$12+$C$8*_xlfn.NORM.S.INV(RAND()))</f>
        <v/>
      </c>
    </row>
    <row r="6332">
      <c r="F6332">
        <f>F6331+1</f>
        <v/>
      </c>
      <c r="G6332" s="92">
        <f>EXP($C$12+$C$8*_xlfn.NORM.S.INV(RAND()))</f>
        <v/>
      </c>
    </row>
    <row r="6333">
      <c r="F6333">
        <f>F6332+1</f>
        <v/>
      </c>
      <c r="G6333" s="92">
        <f>EXP($C$12+$C$8*_xlfn.NORM.S.INV(RAND()))</f>
        <v/>
      </c>
    </row>
    <row r="6334">
      <c r="F6334">
        <f>F6333+1</f>
        <v/>
      </c>
      <c r="G6334" s="92">
        <f>EXP($C$12+$C$8*_xlfn.NORM.S.INV(RAND()))</f>
        <v/>
      </c>
    </row>
    <row r="6335">
      <c r="F6335">
        <f>F6334+1</f>
        <v/>
      </c>
      <c r="G6335" s="92">
        <f>EXP($C$12+$C$8*_xlfn.NORM.S.INV(RAND()))</f>
        <v/>
      </c>
    </row>
    <row r="6336">
      <c r="F6336">
        <f>F6335+1</f>
        <v/>
      </c>
      <c r="G6336" s="92">
        <f>EXP($C$12+$C$8*_xlfn.NORM.S.INV(RAND()))</f>
        <v/>
      </c>
    </row>
    <row r="6337">
      <c r="F6337">
        <f>F6336+1</f>
        <v/>
      </c>
      <c r="G6337" s="92">
        <f>EXP($C$12+$C$8*_xlfn.NORM.S.INV(RAND()))</f>
        <v/>
      </c>
    </row>
    <row r="6338">
      <c r="F6338">
        <f>F6337+1</f>
        <v/>
      </c>
      <c r="G6338" s="92">
        <f>EXP($C$12+$C$8*_xlfn.NORM.S.INV(RAND()))</f>
        <v/>
      </c>
    </row>
    <row r="6339">
      <c r="F6339">
        <f>F6338+1</f>
        <v/>
      </c>
      <c r="G6339" s="92">
        <f>EXP($C$12+$C$8*_xlfn.NORM.S.INV(RAND()))</f>
        <v/>
      </c>
    </row>
    <row r="6340">
      <c r="F6340">
        <f>F6339+1</f>
        <v/>
      </c>
      <c r="G6340" s="92">
        <f>EXP($C$12+$C$8*_xlfn.NORM.S.INV(RAND()))</f>
        <v/>
      </c>
    </row>
    <row r="6341">
      <c r="F6341">
        <f>F6340+1</f>
        <v/>
      </c>
      <c r="G6341" s="92">
        <f>EXP($C$12+$C$8*_xlfn.NORM.S.INV(RAND()))</f>
        <v/>
      </c>
    </row>
    <row r="6342">
      <c r="F6342">
        <f>F6341+1</f>
        <v/>
      </c>
      <c r="G6342" s="92">
        <f>EXP($C$12+$C$8*_xlfn.NORM.S.INV(RAND()))</f>
        <v/>
      </c>
    </row>
    <row r="6343">
      <c r="F6343">
        <f>F6342+1</f>
        <v/>
      </c>
      <c r="G6343" s="92">
        <f>EXP($C$12+$C$8*_xlfn.NORM.S.INV(RAND()))</f>
        <v/>
      </c>
    </row>
    <row r="6344">
      <c r="F6344">
        <f>F6343+1</f>
        <v/>
      </c>
      <c r="G6344" s="92">
        <f>EXP($C$12+$C$8*_xlfn.NORM.S.INV(RAND()))</f>
        <v/>
      </c>
    </row>
    <row r="6345">
      <c r="F6345">
        <f>F6344+1</f>
        <v/>
      </c>
      <c r="G6345" s="92">
        <f>EXP($C$12+$C$8*_xlfn.NORM.S.INV(RAND()))</f>
        <v/>
      </c>
    </row>
    <row r="6346">
      <c r="F6346">
        <f>F6345+1</f>
        <v/>
      </c>
      <c r="G6346" s="92">
        <f>EXP($C$12+$C$8*_xlfn.NORM.S.INV(RAND()))</f>
        <v/>
      </c>
    </row>
    <row r="6347">
      <c r="F6347">
        <f>F6346+1</f>
        <v/>
      </c>
      <c r="G6347" s="92">
        <f>EXP($C$12+$C$8*_xlfn.NORM.S.INV(RAND()))</f>
        <v/>
      </c>
    </row>
    <row r="6348">
      <c r="F6348">
        <f>F6347+1</f>
        <v/>
      </c>
      <c r="G6348" s="92">
        <f>EXP($C$12+$C$8*_xlfn.NORM.S.INV(RAND()))</f>
        <v/>
      </c>
    </row>
    <row r="6349">
      <c r="F6349">
        <f>F6348+1</f>
        <v/>
      </c>
      <c r="G6349" s="92">
        <f>EXP($C$12+$C$8*_xlfn.NORM.S.INV(RAND()))</f>
        <v/>
      </c>
    </row>
    <row r="6350">
      <c r="F6350">
        <f>F6349+1</f>
        <v/>
      </c>
      <c r="G6350" s="92">
        <f>EXP($C$12+$C$8*_xlfn.NORM.S.INV(RAND()))</f>
        <v/>
      </c>
    </row>
    <row r="6351">
      <c r="F6351">
        <f>F6350+1</f>
        <v/>
      </c>
      <c r="G6351" s="92">
        <f>EXP($C$12+$C$8*_xlfn.NORM.S.INV(RAND()))</f>
        <v/>
      </c>
    </row>
    <row r="6352">
      <c r="F6352">
        <f>F6351+1</f>
        <v/>
      </c>
      <c r="G6352" s="92">
        <f>EXP($C$12+$C$8*_xlfn.NORM.S.INV(RAND()))</f>
        <v/>
      </c>
    </row>
    <row r="6353">
      <c r="F6353">
        <f>F6352+1</f>
        <v/>
      </c>
      <c r="G6353" s="92">
        <f>EXP($C$12+$C$8*_xlfn.NORM.S.INV(RAND()))</f>
        <v/>
      </c>
    </row>
    <row r="6354">
      <c r="F6354">
        <f>F6353+1</f>
        <v/>
      </c>
      <c r="G6354" s="92">
        <f>EXP($C$12+$C$8*_xlfn.NORM.S.INV(RAND()))</f>
        <v/>
      </c>
    </row>
    <row r="6355">
      <c r="F6355">
        <f>F6354+1</f>
        <v/>
      </c>
      <c r="G6355" s="92">
        <f>EXP($C$12+$C$8*_xlfn.NORM.S.INV(RAND()))</f>
        <v/>
      </c>
    </row>
    <row r="6356">
      <c r="F6356">
        <f>F6355+1</f>
        <v/>
      </c>
      <c r="G6356" s="92">
        <f>EXP($C$12+$C$8*_xlfn.NORM.S.INV(RAND()))</f>
        <v/>
      </c>
    </row>
    <row r="6357">
      <c r="F6357">
        <f>F6356+1</f>
        <v/>
      </c>
      <c r="G6357" s="92">
        <f>EXP($C$12+$C$8*_xlfn.NORM.S.INV(RAND()))</f>
        <v/>
      </c>
    </row>
    <row r="6358">
      <c r="F6358">
        <f>F6357+1</f>
        <v/>
      </c>
      <c r="G6358" s="92">
        <f>EXP($C$12+$C$8*_xlfn.NORM.S.INV(RAND()))</f>
        <v/>
      </c>
    </row>
    <row r="6359">
      <c r="F6359">
        <f>F6358+1</f>
        <v/>
      </c>
      <c r="G6359" s="92">
        <f>EXP($C$12+$C$8*_xlfn.NORM.S.INV(RAND()))</f>
        <v/>
      </c>
    </row>
    <row r="6360">
      <c r="F6360">
        <f>F6359+1</f>
        <v/>
      </c>
      <c r="G6360" s="92">
        <f>EXP($C$12+$C$8*_xlfn.NORM.S.INV(RAND()))</f>
        <v/>
      </c>
    </row>
    <row r="6361">
      <c r="F6361">
        <f>F6360+1</f>
        <v/>
      </c>
      <c r="G6361" s="92">
        <f>EXP($C$12+$C$8*_xlfn.NORM.S.INV(RAND()))</f>
        <v/>
      </c>
    </row>
    <row r="6362">
      <c r="F6362">
        <f>F6361+1</f>
        <v/>
      </c>
      <c r="G6362" s="92">
        <f>EXP($C$12+$C$8*_xlfn.NORM.S.INV(RAND()))</f>
        <v/>
      </c>
    </row>
    <row r="6363">
      <c r="F6363">
        <f>F6362+1</f>
        <v/>
      </c>
      <c r="G6363" s="92">
        <f>EXP($C$12+$C$8*_xlfn.NORM.S.INV(RAND()))</f>
        <v/>
      </c>
    </row>
    <row r="6364">
      <c r="F6364">
        <f>F6363+1</f>
        <v/>
      </c>
      <c r="G6364" s="92">
        <f>EXP($C$12+$C$8*_xlfn.NORM.S.INV(RAND()))</f>
        <v/>
      </c>
    </row>
    <row r="6365">
      <c r="F6365">
        <f>F6364+1</f>
        <v/>
      </c>
      <c r="G6365" s="92">
        <f>EXP($C$12+$C$8*_xlfn.NORM.S.INV(RAND()))</f>
        <v/>
      </c>
    </row>
    <row r="6366">
      <c r="F6366">
        <f>F6365+1</f>
        <v/>
      </c>
      <c r="G6366" s="92">
        <f>EXP($C$12+$C$8*_xlfn.NORM.S.INV(RAND()))</f>
        <v/>
      </c>
    </row>
    <row r="6367">
      <c r="F6367">
        <f>F6366+1</f>
        <v/>
      </c>
      <c r="G6367" s="92">
        <f>EXP($C$12+$C$8*_xlfn.NORM.S.INV(RAND()))</f>
        <v/>
      </c>
    </row>
    <row r="6368">
      <c r="F6368">
        <f>F6367+1</f>
        <v/>
      </c>
      <c r="G6368" s="92">
        <f>EXP($C$12+$C$8*_xlfn.NORM.S.INV(RAND()))</f>
        <v/>
      </c>
    </row>
    <row r="6369">
      <c r="F6369">
        <f>F6368+1</f>
        <v/>
      </c>
      <c r="G6369" s="92">
        <f>EXP($C$12+$C$8*_xlfn.NORM.S.INV(RAND()))</f>
        <v/>
      </c>
    </row>
    <row r="6370">
      <c r="F6370">
        <f>F6369+1</f>
        <v/>
      </c>
      <c r="G6370" s="92">
        <f>EXP($C$12+$C$8*_xlfn.NORM.S.INV(RAND()))</f>
        <v/>
      </c>
    </row>
    <row r="6371">
      <c r="F6371">
        <f>F6370+1</f>
        <v/>
      </c>
      <c r="G6371" s="92">
        <f>EXP($C$12+$C$8*_xlfn.NORM.S.INV(RAND()))</f>
        <v/>
      </c>
    </row>
    <row r="6372">
      <c r="F6372">
        <f>F6371+1</f>
        <v/>
      </c>
      <c r="G6372" s="92">
        <f>EXP($C$12+$C$8*_xlfn.NORM.S.INV(RAND()))</f>
        <v/>
      </c>
    </row>
    <row r="6373">
      <c r="F6373">
        <f>F6372+1</f>
        <v/>
      </c>
      <c r="G6373" s="92">
        <f>EXP($C$12+$C$8*_xlfn.NORM.S.INV(RAND()))</f>
        <v/>
      </c>
    </row>
    <row r="6374">
      <c r="F6374">
        <f>F6373+1</f>
        <v/>
      </c>
      <c r="G6374" s="92">
        <f>EXP($C$12+$C$8*_xlfn.NORM.S.INV(RAND()))</f>
        <v/>
      </c>
    </row>
    <row r="6375">
      <c r="F6375">
        <f>F6374+1</f>
        <v/>
      </c>
      <c r="G6375" s="92">
        <f>EXP($C$12+$C$8*_xlfn.NORM.S.INV(RAND()))</f>
        <v/>
      </c>
    </row>
    <row r="6376">
      <c r="F6376">
        <f>F6375+1</f>
        <v/>
      </c>
      <c r="G6376" s="92">
        <f>EXP($C$12+$C$8*_xlfn.NORM.S.INV(RAND()))</f>
        <v/>
      </c>
    </row>
    <row r="6377">
      <c r="F6377">
        <f>F6376+1</f>
        <v/>
      </c>
      <c r="G6377" s="92">
        <f>EXP($C$12+$C$8*_xlfn.NORM.S.INV(RAND()))</f>
        <v/>
      </c>
    </row>
    <row r="6378">
      <c r="F6378">
        <f>F6377+1</f>
        <v/>
      </c>
      <c r="G6378" s="92">
        <f>EXP($C$12+$C$8*_xlfn.NORM.S.INV(RAND()))</f>
        <v/>
      </c>
    </row>
    <row r="6379">
      <c r="F6379">
        <f>F6378+1</f>
        <v/>
      </c>
      <c r="G6379" s="92">
        <f>EXP($C$12+$C$8*_xlfn.NORM.S.INV(RAND()))</f>
        <v/>
      </c>
    </row>
    <row r="6380">
      <c r="F6380">
        <f>F6379+1</f>
        <v/>
      </c>
      <c r="G6380" s="92">
        <f>EXP($C$12+$C$8*_xlfn.NORM.S.INV(RAND()))</f>
        <v/>
      </c>
    </row>
    <row r="6381">
      <c r="F6381">
        <f>F6380+1</f>
        <v/>
      </c>
      <c r="G6381" s="92">
        <f>EXP($C$12+$C$8*_xlfn.NORM.S.INV(RAND()))</f>
        <v/>
      </c>
    </row>
    <row r="6382">
      <c r="F6382">
        <f>F6381+1</f>
        <v/>
      </c>
      <c r="G6382" s="92">
        <f>EXP($C$12+$C$8*_xlfn.NORM.S.INV(RAND()))</f>
        <v/>
      </c>
    </row>
    <row r="6383">
      <c r="F6383">
        <f>F6382+1</f>
        <v/>
      </c>
      <c r="G6383" s="92">
        <f>EXP($C$12+$C$8*_xlfn.NORM.S.INV(RAND()))</f>
        <v/>
      </c>
    </row>
    <row r="6384">
      <c r="F6384">
        <f>F6383+1</f>
        <v/>
      </c>
      <c r="G6384" s="92">
        <f>EXP($C$12+$C$8*_xlfn.NORM.S.INV(RAND()))</f>
        <v/>
      </c>
    </row>
    <row r="6385">
      <c r="F6385">
        <f>F6384+1</f>
        <v/>
      </c>
      <c r="G6385" s="92">
        <f>EXP($C$12+$C$8*_xlfn.NORM.S.INV(RAND()))</f>
        <v/>
      </c>
    </row>
    <row r="6386">
      <c r="F6386">
        <f>F6385+1</f>
        <v/>
      </c>
      <c r="G6386" s="92">
        <f>EXP($C$12+$C$8*_xlfn.NORM.S.INV(RAND()))</f>
        <v/>
      </c>
    </row>
    <row r="6387">
      <c r="F6387">
        <f>F6386+1</f>
        <v/>
      </c>
      <c r="G6387" s="92">
        <f>EXP($C$12+$C$8*_xlfn.NORM.S.INV(RAND()))</f>
        <v/>
      </c>
    </row>
    <row r="6388">
      <c r="F6388">
        <f>F6387+1</f>
        <v/>
      </c>
      <c r="G6388" s="92">
        <f>EXP($C$12+$C$8*_xlfn.NORM.S.INV(RAND()))</f>
        <v/>
      </c>
    </row>
    <row r="6389">
      <c r="F6389">
        <f>F6388+1</f>
        <v/>
      </c>
      <c r="G6389" s="92">
        <f>EXP($C$12+$C$8*_xlfn.NORM.S.INV(RAND()))</f>
        <v/>
      </c>
    </row>
    <row r="6390">
      <c r="F6390">
        <f>F6389+1</f>
        <v/>
      </c>
      <c r="G6390" s="92">
        <f>EXP($C$12+$C$8*_xlfn.NORM.S.INV(RAND()))</f>
        <v/>
      </c>
    </row>
    <row r="6391">
      <c r="F6391">
        <f>F6390+1</f>
        <v/>
      </c>
      <c r="G6391" s="92">
        <f>EXP($C$12+$C$8*_xlfn.NORM.S.INV(RAND()))</f>
        <v/>
      </c>
    </row>
    <row r="6392">
      <c r="F6392">
        <f>F6391+1</f>
        <v/>
      </c>
      <c r="G6392" s="92">
        <f>EXP($C$12+$C$8*_xlfn.NORM.S.INV(RAND()))</f>
        <v/>
      </c>
    </row>
    <row r="6393">
      <c r="F6393">
        <f>F6392+1</f>
        <v/>
      </c>
      <c r="G6393" s="92">
        <f>EXP($C$12+$C$8*_xlfn.NORM.S.INV(RAND()))</f>
        <v/>
      </c>
    </row>
    <row r="6394">
      <c r="F6394">
        <f>F6393+1</f>
        <v/>
      </c>
      <c r="G6394" s="92">
        <f>EXP($C$12+$C$8*_xlfn.NORM.S.INV(RAND()))</f>
        <v/>
      </c>
    </row>
    <row r="6395">
      <c r="F6395">
        <f>F6394+1</f>
        <v/>
      </c>
      <c r="G6395" s="92">
        <f>EXP($C$12+$C$8*_xlfn.NORM.S.INV(RAND()))</f>
        <v/>
      </c>
    </row>
    <row r="6396">
      <c r="F6396">
        <f>F6395+1</f>
        <v/>
      </c>
      <c r="G6396" s="92">
        <f>EXP($C$12+$C$8*_xlfn.NORM.S.INV(RAND()))</f>
        <v/>
      </c>
    </row>
    <row r="6397">
      <c r="F6397">
        <f>F6396+1</f>
        <v/>
      </c>
      <c r="G6397" s="92">
        <f>EXP($C$12+$C$8*_xlfn.NORM.S.INV(RAND()))</f>
        <v/>
      </c>
    </row>
    <row r="6398">
      <c r="F6398">
        <f>F6397+1</f>
        <v/>
      </c>
      <c r="G6398" s="92">
        <f>EXP($C$12+$C$8*_xlfn.NORM.S.INV(RAND()))</f>
        <v/>
      </c>
    </row>
    <row r="6399">
      <c r="F6399">
        <f>F6398+1</f>
        <v/>
      </c>
      <c r="G6399" s="92">
        <f>EXP($C$12+$C$8*_xlfn.NORM.S.INV(RAND()))</f>
        <v/>
      </c>
    </row>
    <row r="6400">
      <c r="F6400">
        <f>F6399+1</f>
        <v/>
      </c>
      <c r="G6400" s="92">
        <f>EXP($C$12+$C$8*_xlfn.NORM.S.INV(RAND()))</f>
        <v/>
      </c>
    </row>
    <row r="6401">
      <c r="F6401">
        <f>F6400+1</f>
        <v/>
      </c>
      <c r="G6401" s="92">
        <f>EXP($C$12+$C$8*_xlfn.NORM.S.INV(RAND()))</f>
        <v/>
      </c>
    </row>
    <row r="6402">
      <c r="F6402">
        <f>F6401+1</f>
        <v/>
      </c>
      <c r="G6402" s="92">
        <f>EXP($C$12+$C$8*_xlfn.NORM.S.INV(RAND()))</f>
        <v/>
      </c>
    </row>
    <row r="6403">
      <c r="F6403">
        <f>F6402+1</f>
        <v/>
      </c>
      <c r="G6403" s="92">
        <f>EXP($C$12+$C$8*_xlfn.NORM.S.INV(RAND()))</f>
        <v/>
      </c>
    </row>
    <row r="6404">
      <c r="F6404">
        <f>F6403+1</f>
        <v/>
      </c>
      <c r="G6404" s="92">
        <f>EXP($C$12+$C$8*_xlfn.NORM.S.INV(RAND()))</f>
        <v/>
      </c>
    </row>
    <row r="6405">
      <c r="F6405">
        <f>F6404+1</f>
        <v/>
      </c>
      <c r="G6405" s="92">
        <f>EXP($C$12+$C$8*_xlfn.NORM.S.INV(RAND()))</f>
        <v/>
      </c>
    </row>
    <row r="6406">
      <c r="F6406">
        <f>F6405+1</f>
        <v/>
      </c>
      <c r="G6406" s="92">
        <f>EXP($C$12+$C$8*_xlfn.NORM.S.INV(RAND()))</f>
        <v/>
      </c>
    </row>
    <row r="6407">
      <c r="F6407">
        <f>F6406+1</f>
        <v/>
      </c>
      <c r="G6407" s="92">
        <f>EXP($C$12+$C$8*_xlfn.NORM.S.INV(RAND()))</f>
        <v/>
      </c>
    </row>
    <row r="6408">
      <c r="F6408">
        <f>F6407+1</f>
        <v/>
      </c>
      <c r="G6408" s="92">
        <f>EXP($C$12+$C$8*_xlfn.NORM.S.INV(RAND()))</f>
        <v/>
      </c>
    </row>
    <row r="6409">
      <c r="F6409">
        <f>F6408+1</f>
        <v/>
      </c>
      <c r="G6409" s="92">
        <f>EXP($C$12+$C$8*_xlfn.NORM.S.INV(RAND()))</f>
        <v/>
      </c>
    </row>
    <row r="6410">
      <c r="F6410">
        <f>F6409+1</f>
        <v/>
      </c>
      <c r="G6410" s="92">
        <f>EXP($C$12+$C$8*_xlfn.NORM.S.INV(RAND()))</f>
        <v/>
      </c>
    </row>
    <row r="6411">
      <c r="F6411">
        <f>F6410+1</f>
        <v/>
      </c>
      <c r="G6411" s="92">
        <f>EXP($C$12+$C$8*_xlfn.NORM.S.INV(RAND()))</f>
        <v/>
      </c>
    </row>
    <row r="6412">
      <c r="F6412">
        <f>F6411+1</f>
        <v/>
      </c>
      <c r="G6412" s="92">
        <f>EXP($C$12+$C$8*_xlfn.NORM.S.INV(RAND()))</f>
        <v/>
      </c>
    </row>
    <row r="6413">
      <c r="F6413">
        <f>F6412+1</f>
        <v/>
      </c>
      <c r="G6413" s="92">
        <f>EXP($C$12+$C$8*_xlfn.NORM.S.INV(RAND()))</f>
        <v/>
      </c>
    </row>
    <row r="6414">
      <c r="F6414">
        <f>F6413+1</f>
        <v/>
      </c>
      <c r="G6414" s="92">
        <f>EXP($C$12+$C$8*_xlfn.NORM.S.INV(RAND()))</f>
        <v/>
      </c>
    </row>
    <row r="6415">
      <c r="F6415">
        <f>F6414+1</f>
        <v/>
      </c>
      <c r="G6415" s="92">
        <f>EXP($C$12+$C$8*_xlfn.NORM.S.INV(RAND()))</f>
        <v/>
      </c>
    </row>
    <row r="6416">
      <c r="F6416">
        <f>F6415+1</f>
        <v/>
      </c>
      <c r="G6416" s="92">
        <f>EXP($C$12+$C$8*_xlfn.NORM.S.INV(RAND()))</f>
        <v/>
      </c>
    </row>
    <row r="6417">
      <c r="F6417">
        <f>F6416+1</f>
        <v/>
      </c>
      <c r="G6417" s="92">
        <f>EXP($C$12+$C$8*_xlfn.NORM.S.INV(RAND()))</f>
        <v/>
      </c>
    </row>
    <row r="6418">
      <c r="F6418">
        <f>F6417+1</f>
        <v/>
      </c>
      <c r="G6418" s="92">
        <f>EXP($C$12+$C$8*_xlfn.NORM.S.INV(RAND()))</f>
        <v/>
      </c>
    </row>
    <row r="6419">
      <c r="F6419">
        <f>F6418+1</f>
        <v/>
      </c>
      <c r="G6419" s="92">
        <f>EXP($C$12+$C$8*_xlfn.NORM.S.INV(RAND()))</f>
        <v/>
      </c>
    </row>
    <row r="6420">
      <c r="F6420">
        <f>F6419+1</f>
        <v/>
      </c>
      <c r="G6420" s="92">
        <f>EXP($C$12+$C$8*_xlfn.NORM.S.INV(RAND()))</f>
        <v/>
      </c>
    </row>
    <row r="6421">
      <c r="F6421">
        <f>F6420+1</f>
        <v/>
      </c>
      <c r="G6421" s="92">
        <f>EXP($C$12+$C$8*_xlfn.NORM.S.INV(RAND()))</f>
        <v/>
      </c>
    </row>
    <row r="6422">
      <c r="F6422">
        <f>F6421+1</f>
        <v/>
      </c>
      <c r="G6422" s="92">
        <f>EXP($C$12+$C$8*_xlfn.NORM.S.INV(RAND()))</f>
        <v/>
      </c>
    </row>
    <row r="6423">
      <c r="F6423">
        <f>F6422+1</f>
        <v/>
      </c>
      <c r="G6423" s="92">
        <f>EXP($C$12+$C$8*_xlfn.NORM.S.INV(RAND()))</f>
        <v/>
      </c>
    </row>
    <row r="6424">
      <c r="F6424">
        <f>F6423+1</f>
        <v/>
      </c>
      <c r="G6424" s="92">
        <f>EXP($C$12+$C$8*_xlfn.NORM.S.INV(RAND()))</f>
        <v/>
      </c>
    </row>
    <row r="6425">
      <c r="F6425">
        <f>F6424+1</f>
        <v/>
      </c>
      <c r="G6425" s="92">
        <f>EXP($C$12+$C$8*_xlfn.NORM.S.INV(RAND()))</f>
        <v/>
      </c>
    </row>
    <row r="6426">
      <c r="F6426">
        <f>F6425+1</f>
        <v/>
      </c>
      <c r="G6426" s="92">
        <f>EXP($C$12+$C$8*_xlfn.NORM.S.INV(RAND()))</f>
        <v/>
      </c>
    </row>
    <row r="6427">
      <c r="F6427">
        <f>F6426+1</f>
        <v/>
      </c>
      <c r="G6427" s="92">
        <f>EXP($C$12+$C$8*_xlfn.NORM.S.INV(RAND()))</f>
        <v/>
      </c>
    </row>
    <row r="6428">
      <c r="F6428">
        <f>F6427+1</f>
        <v/>
      </c>
      <c r="G6428" s="92">
        <f>EXP($C$12+$C$8*_xlfn.NORM.S.INV(RAND()))</f>
        <v/>
      </c>
    </row>
    <row r="6429">
      <c r="F6429">
        <f>F6428+1</f>
        <v/>
      </c>
      <c r="G6429" s="92">
        <f>EXP($C$12+$C$8*_xlfn.NORM.S.INV(RAND()))</f>
        <v/>
      </c>
    </row>
    <row r="6430">
      <c r="F6430">
        <f>F6429+1</f>
        <v/>
      </c>
      <c r="G6430" s="92">
        <f>EXP($C$12+$C$8*_xlfn.NORM.S.INV(RAND()))</f>
        <v/>
      </c>
    </row>
    <row r="6431">
      <c r="F6431">
        <f>F6430+1</f>
        <v/>
      </c>
      <c r="G6431" s="92">
        <f>EXP($C$12+$C$8*_xlfn.NORM.S.INV(RAND()))</f>
        <v/>
      </c>
    </row>
    <row r="6432">
      <c r="F6432">
        <f>F6431+1</f>
        <v/>
      </c>
      <c r="G6432" s="92">
        <f>EXP($C$12+$C$8*_xlfn.NORM.S.INV(RAND()))</f>
        <v/>
      </c>
    </row>
    <row r="6433">
      <c r="F6433">
        <f>F6432+1</f>
        <v/>
      </c>
      <c r="G6433" s="92">
        <f>EXP($C$12+$C$8*_xlfn.NORM.S.INV(RAND()))</f>
        <v/>
      </c>
    </row>
    <row r="6434">
      <c r="F6434">
        <f>F6433+1</f>
        <v/>
      </c>
      <c r="G6434" s="92">
        <f>EXP($C$12+$C$8*_xlfn.NORM.S.INV(RAND()))</f>
        <v/>
      </c>
    </row>
    <row r="6435">
      <c r="F6435">
        <f>F6434+1</f>
        <v/>
      </c>
      <c r="G6435" s="92">
        <f>EXP($C$12+$C$8*_xlfn.NORM.S.INV(RAND()))</f>
        <v/>
      </c>
    </row>
    <row r="6436">
      <c r="F6436">
        <f>F6435+1</f>
        <v/>
      </c>
      <c r="G6436" s="92">
        <f>EXP($C$12+$C$8*_xlfn.NORM.S.INV(RAND()))</f>
        <v/>
      </c>
    </row>
    <row r="6437">
      <c r="F6437">
        <f>F6436+1</f>
        <v/>
      </c>
      <c r="G6437" s="92">
        <f>EXP($C$12+$C$8*_xlfn.NORM.S.INV(RAND()))</f>
        <v/>
      </c>
    </row>
    <row r="6438">
      <c r="F6438">
        <f>F6437+1</f>
        <v/>
      </c>
      <c r="G6438" s="92">
        <f>EXP($C$12+$C$8*_xlfn.NORM.S.INV(RAND()))</f>
        <v/>
      </c>
    </row>
    <row r="6439">
      <c r="F6439">
        <f>F6438+1</f>
        <v/>
      </c>
      <c r="G6439" s="92">
        <f>EXP($C$12+$C$8*_xlfn.NORM.S.INV(RAND()))</f>
        <v/>
      </c>
    </row>
    <row r="6440">
      <c r="F6440">
        <f>F6439+1</f>
        <v/>
      </c>
      <c r="G6440" s="92">
        <f>EXP($C$12+$C$8*_xlfn.NORM.S.INV(RAND()))</f>
        <v/>
      </c>
    </row>
    <row r="6441">
      <c r="F6441">
        <f>F6440+1</f>
        <v/>
      </c>
      <c r="G6441" s="92">
        <f>EXP($C$12+$C$8*_xlfn.NORM.S.INV(RAND()))</f>
        <v/>
      </c>
    </row>
    <row r="6442">
      <c r="F6442">
        <f>F6441+1</f>
        <v/>
      </c>
      <c r="G6442" s="92">
        <f>EXP($C$12+$C$8*_xlfn.NORM.S.INV(RAND()))</f>
        <v/>
      </c>
    </row>
    <row r="6443">
      <c r="F6443">
        <f>F6442+1</f>
        <v/>
      </c>
      <c r="G6443" s="92">
        <f>EXP($C$12+$C$8*_xlfn.NORM.S.INV(RAND()))</f>
        <v/>
      </c>
    </row>
    <row r="6444">
      <c r="F6444">
        <f>F6443+1</f>
        <v/>
      </c>
      <c r="G6444" s="92">
        <f>EXP($C$12+$C$8*_xlfn.NORM.S.INV(RAND()))</f>
        <v/>
      </c>
    </row>
    <row r="6445">
      <c r="F6445">
        <f>F6444+1</f>
        <v/>
      </c>
      <c r="G6445" s="92">
        <f>EXP($C$12+$C$8*_xlfn.NORM.S.INV(RAND()))</f>
        <v/>
      </c>
    </row>
    <row r="6446">
      <c r="F6446">
        <f>F6445+1</f>
        <v/>
      </c>
      <c r="G6446" s="92">
        <f>EXP($C$12+$C$8*_xlfn.NORM.S.INV(RAND()))</f>
        <v/>
      </c>
    </row>
    <row r="6447">
      <c r="F6447">
        <f>F6446+1</f>
        <v/>
      </c>
      <c r="G6447" s="92">
        <f>EXP($C$12+$C$8*_xlfn.NORM.S.INV(RAND()))</f>
        <v/>
      </c>
    </row>
    <row r="6448">
      <c r="F6448">
        <f>F6447+1</f>
        <v/>
      </c>
      <c r="G6448" s="92">
        <f>EXP($C$12+$C$8*_xlfn.NORM.S.INV(RAND()))</f>
        <v/>
      </c>
    </row>
    <row r="6449">
      <c r="F6449">
        <f>F6448+1</f>
        <v/>
      </c>
      <c r="G6449" s="92">
        <f>EXP($C$12+$C$8*_xlfn.NORM.S.INV(RAND()))</f>
        <v/>
      </c>
    </row>
    <row r="6450">
      <c r="F6450">
        <f>F6449+1</f>
        <v/>
      </c>
      <c r="G6450" s="92">
        <f>EXP($C$12+$C$8*_xlfn.NORM.S.INV(RAND()))</f>
        <v/>
      </c>
    </row>
    <row r="6451">
      <c r="F6451">
        <f>F6450+1</f>
        <v/>
      </c>
      <c r="G6451" s="92">
        <f>EXP($C$12+$C$8*_xlfn.NORM.S.INV(RAND()))</f>
        <v/>
      </c>
    </row>
    <row r="6452">
      <c r="F6452">
        <f>F6451+1</f>
        <v/>
      </c>
      <c r="G6452" s="92">
        <f>EXP($C$12+$C$8*_xlfn.NORM.S.INV(RAND()))</f>
        <v/>
      </c>
    </row>
    <row r="6453">
      <c r="F6453">
        <f>F6452+1</f>
        <v/>
      </c>
      <c r="G6453" s="92">
        <f>EXP($C$12+$C$8*_xlfn.NORM.S.INV(RAND()))</f>
        <v/>
      </c>
    </row>
    <row r="6454">
      <c r="F6454">
        <f>F6453+1</f>
        <v/>
      </c>
      <c r="G6454" s="92">
        <f>EXP($C$12+$C$8*_xlfn.NORM.S.INV(RAND()))</f>
        <v/>
      </c>
    </row>
    <row r="6455">
      <c r="F6455">
        <f>F6454+1</f>
        <v/>
      </c>
      <c r="G6455" s="92">
        <f>EXP($C$12+$C$8*_xlfn.NORM.S.INV(RAND()))</f>
        <v/>
      </c>
    </row>
    <row r="6456">
      <c r="F6456">
        <f>F6455+1</f>
        <v/>
      </c>
      <c r="G6456" s="92">
        <f>EXP($C$12+$C$8*_xlfn.NORM.S.INV(RAND()))</f>
        <v/>
      </c>
    </row>
    <row r="6457">
      <c r="F6457">
        <f>F6456+1</f>
        <v/>
      </c>
      <c r="G6457" s="92">
        <f>EXP($C$12+$C$8*_xlfn.NORM.S.INV(RAND()))</f>
        <v/>
      </c>
    </row>
    <row r="6458">
      <c r="F6458">
        <f>F6457+1</f>
        <v/>
      </c>
      <c r="G6458" s="92">
        <f>EXP($C$12+$C$8*_xlfn.NORM.S.INV(RAND()))</f>
        <v/>
      </c>
    </row>
    <row r="6459">
      <c r="F6459">
        <f>F6458+1</f>
        <v/>
      </c>
      <c r="G6459" s="92">
        <f>EXP($C$12+$C$8*_xlfn.NORM.S.INV(RAND()))</f>
        <v/>
      </c>
    </row>
    <row r="6460">
      <c r="F6460">
        <f>F6459+1</f>
        <v/>
      </c>
      <c r="G6460" s="92">
        <f>EXP($C$12+$C$8*_xlfn.NORM.S.INV(RAND()))</f>
        <v/>
      </c>
    </row>
    <row r="6461">
      <c r="F6461">
        <f>F6460+1</f>
        <v/>
      </c>
      <c r="G6461" s="92">
        <f>EXP($C$12+$C$8*_xlfn.NORM.S.INV(RAND()))</f>
        <v/>
      </c>
    </row>
    <row r="6462">
      <c r="F6462">
        <f>F6461+1</f>
        <v/>
      </c>
      <c r="G6462" s="92">
        <f>EXP($C$12+$C$8*_xlfn.NORM.S.INV(RAND()))</f>
        <v/>
      </c>
    </row>
    <row r="6463">
      <c r="F6463">
        <f>F6462+1</f>
        <v/>
      </c>
      <c r="G6463" s="92">
        <f>EXP($C$12+$C$8*_xlfn.NORM.S.INV(RAND()))</f>
        <v/>
      </c>
    </row>
    <row r="6464">
      <c r="F6464">
        <f>F6463+1</f>
        <v/>
      </c>
      <c r="G6464" s="92">
        <f>EXP($C$12+$C$8*_xlfn.NORM.S.INV(RAND()))</f>
        <v/>
      </c>
    </row>
    <row r="6465">
      <c r="F6465">
        <f>F6464+1</f>
        <v/>
      </c>
      <c r="G6465" s="92">
        <f>EXP($C$12+$C$8*_xlfn.NORM.S.INV(RAND()))</f>
        <v/>
      </c>
    </row>
    <row r="6466">
      <c r="F6466">
        <f>F6465+1</f>
        <v/>
      </c>
      <c r="G6466" s="92">
        <f>EXP($C$12+$C$8*_xlfn.NORM.S.INV(RAND()))</f>
        <v/>
      </c>
    </row>
    <row r="6467">
      <c r="F6467">
        <f>F6466+1</f>
        <v/>
      </c>
      <c r="G6467" s="92">
        <f>EXP($C$12+$C$8*_xlfn.NORM.S.INV(RAND()))</f>
        <v/>
      </c>
    </row>
    <row r="6468">
      <c r="F6468">
        <f>F6467+1</f>
        <v/>
      </c>
      <c r="G6468" s="92">
        <f>EXP($C$12+$C$8*_xlfn.NORM.S.INV(RAND()))</f>
        <v/>
      </c>
    </row>
    <row r="6469">
      <c r="F6469">
        <f>F6468+1</f>
        <v/>
      </c>
      <c r="G6469" s="92">
        <f>EXP($C$12+$C$8*_xlfn.NORM.S.INV(RAND()))</f>
        <v/>
      </c>
    </row>
    <row r="6470">
      <c r="F6470">
        <f>F6469+1</f>
        <v/>
      </c>
      <c r="G6470" s="92">
        <f>EXP($C$12+$C$8*_xlfn.NORM.S.INV(RAND()))</f>
        <v/>
      </c>
    </row>
    <row r="6471">
      <c r="F6471">
        <f>F6470+1</f>
        <v/>
      </c>
      <c r="G6471" s="92">
        <f>EXP($C$12+$C$8*_xlfn.NORM.S.INV(RAND()))</f>
        <v/>
      </c>
    </row>
    <row r="6472">
      <c r="F6472">
        <f>F6471+1</f>
        <v/>
      </c>
      <c r="G6472" s="92">
        <f>EXP($C$12+$C$8*_xlfn.NORM.S.INV(RAND()))</f>
        <v/>
      </c>
    </row>
    <row r="6473">
      <c r="F6473">
        <f>F6472+1</f>
        <v/>
      </c>
      <c r="G6473" s="92">
        <f>EXP($C$12+$C$8*_xlfn.NORM.S.INV(RAND()))</f>
        <v/>
      </c>
    </row>
    <row r="6474">
      <c r="F6474">
        <f>F6473+1</f>
        <v/>
      </c>
      <c r="G6474" s="92">
        <f>EXP($C$12+$C$8*_xlfn.NORM.S.INV(RAND()))</f>
        <v/>
      </c>
    </row>
    <row r="6475">
      <c r="F6475">
        <f>F6474+1</f>
        <v/>
      </c>
      <c r="G6475" s="92">
        <f>EXP($C$12+$C$8*_xlfn.NORM.S.INV(RAND()))</f>
        <v/>
      </c>
    </row>
    <row r="6476">
      <c r="F6476">
        <f>F6475+1</f>
        <v/>
      </c>
      <c r="G6476" s="92">
        <f>EXP($C$12+$C$8*_xlfn.NORM.S.INV(RAND()))</f>
        <v/>
      </c>
    </row>
    <row r="6477">
      <c r="F6477">
        <f>F6476+1</f>
        <v/>
      </c>
      <c r="G6477" s="92">
        <f>EXP($C$12+$C$8*_xlfn.NORM.S.INV(RAND()))</f>
        <v/>
      </c>
    </row>
    <row r="6478">
      <c r="F6478">
        <f>F6477+1</f>
        <v/>
      </c>
      <c r="G6478" s="92">
        <f>EXP($C$12+$C$8*_xlfn.NORM.S.INV(RAND()))</f>
        <v/>
      </c>
    </row>
    <row r="6479">
      <c r="F6479">
        <f>F6478+1</f>
        <v/>
      </c>
      <c r="G6479" s="92">
        <f>EXP($C$12+$C$8*_xlfn.NORM.S.INV(RAND()))</f>
        <v/>
      </c>
    </row>
    <row r="6480">
      <c r="F6480">
        <f>F6479+1</f>
        <v/>
      </c>
      <c r="G6480" s="92">
        <f>EXP($C$12+$C$8*_xlfn.NORM.S.INV(RAND()))</f>
        <v/>
      </c>
    </row>
    <row r="6481">
      <c r="F6481">
        <f>F6480+1</f>
        <v/>
      </c>
      <c r="G6481" s="92">
        <f>EXP($C$12+$C$8*_xlfn.NORM.S.INV(RAND()))</f>
        <v/>
      </c>
    </row>
    <row r="6482">
      <c r="F6482">
        <f>F6481+1</f>
        <v/>
      </c>
      <c r="G6482" s="92">
        <f>EXP($C$12+$C$8*_xlfn.NORM.S.INV(RAND()))</f>
        <v/>
      </c>
    </row>
    <row r="6483">
      <c r="F6483">
        <f>F6482+1</f>
        <v/>
      </c>
      <c r="G6483" s="92">
        <f>EXP($C$12+$C$8*_xlfn.NORM.S.INV(RAND()))</f>
        <v/>
      </c>
    </row>
    <row r="6484">
      <c r="F6484">
        <f>F6483+1</f>
        <v/>
      </c>
      <c r="G6484" s="92">
        <f>EXP($C$12+$C$8*_xlfn.NORM.S.INV(RAND()))</f>
        <v/>
      </c>
    </row>
    <row r="6485">
      <c r="F6485">
        <f>F6484+1</f>
        <v/>
      </c>
      <c r="G6485" s="92">
        <f>EXP($C$12+$C$8*_xlfn.NORM.S.INV(RAND()))</f>
        <v/>
      </c>
    </row>
    <row r="6486">
      <c r="F6486">
        <f>F6485+1</f>
        <v/>
      </c>
      <c r="G6486" s="92">
        <f>EXP($C$12+$C$8*_xlfn.NORM.S.INV(RAND()))</f>
        <v/>
      </c>
    </row>
    <row r="6487">
      <c r="F6487">
        <f>F6486+1</f>
        <v/>
      </c>
      <c r="G6487" s="92">
        <f>EXP($C$12+$C$8*_xlfn.NORM.S.INV(RAND()))</f>
        <v/>
      </c>
    </row>
    <row r="6488">
      <c r="F6488">
        <f>F6487+1</f>
        <v/>
      </c>
      <c r="G6488" s="92">
        <f>EXP($C$12+$C$8*_xlfn.NORM.S.INV(RAND()))</f>
        <v/>
      </c>
    </row>
    <row r="6489">
      <c r="F6489">
        <f>F6488+1</f>
        <v/>
      </c>
      <c r="G6489" s="92">
        <f>EXP($C$12+$C$8*_xlfn.NORM.S.INV(RAND()))</f>
        <v/>
      </c>
    </row>
    <row r="6490">
      <c r="F6490">
        <f>F6489+1</f>
        <v/>
      </c>
      <c r="G6490" s="92">
        <f>EXP($C$12+$C$8*_xlfn.NORM.S.INV(RAND()))</f>
        <v/>
      </c>
    </row>
    <row r="6491">
      <c r="F6491">
        <f>F6490+1</f>
        <v/>
      </c>
      <c r="G6491" s="92">
        <f>EXP($C$12+$C$8*_xlfn.NORM.S.INV(RAND()))</f>
        <v/>
      </c>
    </row>
    <row r="6492">
      <c r="F6492">
        <f>F6491+1</f>
        <v/>
      </c>
      <c r="G6492" s="92">
        <f>EXP($C$12+$C$8*_xlfn.NORM.S.INV(RAND()))</f>
        <v/>
      </c>
    </row>
    <row r="6493">
      <c r="F6493">
        <f>F6492+1</f>
        <v/>
      </c>
      <c r="G6493" s="92">
        <f>EXP($C$12+$C$8*_xlfn.NORM.S.INV(RAND()))</f>
        <v/>
      </c>
    </row>
    <row r="6494">
      <c r="F6494">
        <f>F6493+1</f>
        <v/>
      </c>
      <c r="G6494" s="92">
        <f>EXP($C$12+$C$8*_xlfn.NORM.S.INV(RAND()))</f>
        <v/>
      </c>
    </row>
    <row r="6495">
      <c r="F6495">
        <f>F6494+1</f>
        <v/>
      </c>
      <c r="G6495" s="92">
        <f>EXP($C$12+$C$8*_xlfn.NORM.S.INV(RAND()))</f>
        <v/>
      </c>
    </row>
    <row r="6496">
      <c r="F6496">
        <f>F6495+1</f>
        <v/>
      </c>
      <c r="G6496" s="92">
        <f>EXP($C$12+$C$8*_xlfn.NORM.S.INV(RAND()))</f>
        <v/>
      </c>
    </row>
    <row r="6497">
      <c r="F6497">
        <f>F6496+1</f>
        <v/>
      </c>
      <c r="G6497" s="92">
        <f>EXP($C$12+$C$8*_xlfn.NORM.S.INV(RAND()))</f>
        <v/>
      </c>
    </row>
    <row r="6498">
      <c r="F6498">
        <f>F6497+1</f>
        <v/>
      </c>
      <c r="G6498" s="92">
        <f>EXP($C$12+$C$8*_xlfn.NORM.S.INV(RAND()))</f>
        <v/>
      </c>
    </row>
    <row r="6499">
      <c r="F6499">
        <f>F6498+1</f>
        <v/>
      </c>
      <c r="G6499" s="92">
        <f>EXP($C$12+$C$8*_xlfn.NORM.S.INV(RAND()))</f>
        <v/>
      </c>
    </row>
    <row r="6500">
      <c r="F6500">
        <f>F6499+1</f>
        <v/>
      </c>
      <c r="G6500" s="92">
        <f>EXP($C$12+$C$8*_xlfn.NORM.S.INV(RAND()))</f>
        <v/>
      </c>
    </row>
    <row r="6501">
      <c r="F6501">
        <f>F6500+1</f>
        <v/>
      </c>
      <c r="G6501" s="92">
        <f>EXP($C$12+$C$8*_xlfn.NORM.S.INV(RAND()))</f>
        <v/>
      </c>
    </row>
    <row r="6502">
      <c r="F6502">
        <f>F6501+1</f>
        <v/>
      </c>
      <c r="G6502" s="92">
        <f>EXP($C$12+$C$8*_xlfn.NORM.S.INV(RAND()))</f>
        <v/>
      </c>
    </row>
    <row r="6503">
      <c r="F6503">
        <f>F6502+1</f>
        <v/>
      </c>
      <c r="G6503" s="92">
        <f>EXP($C$12+$C$8*_xlfn.NORM.S.INV(RAND()))</f>
        <v/>
      </c>
    </row>
    <row r="6504">
      <c r="F6504">
        <f>F6503+1</f>
        <v/>
      </c>
      <c r="G6504" s="92">
        <f>EXP($C$12+$C$8*_xlfn.NORM.S.INV(RAND()))</f>
        <v/>
      </c>
    </row>
    <row r="6505">
      <c r="F6505">
        <f>F6504+1</f>
        <v/>
      </c>
      <c r="G6505" s="92">
        <f>EXP($C$12+$C$8*_xlfn.NORM.S.INV(RAND()))</f>
        <v/>
      </c>
    </row>
    <row r="6506">
      <c r="F6506">
        <f>F6505+1</f>
        <v/>
      </c>
      <c r="G6506" s="92">
        <f>EXP($C$12+$C$8*_xlfn.NORM.S.INV(RAND()))</f>
        <v/>
      </c>
    </row>
    <row r="6507">
      <c r="F6507">
        <f>F6506+1</f>
        <v/>
      </c>
      <c r="G6507" s="92">
        <f>EXP($C$12+$C$8*_xlfn.NORM.S.INV(RAND()))</f>
        <v/>
      </c>
    </row>
    <row r="6508">
      <c r="F6508">
        <f>F6507+1</f>
        <v/>
      </c>
      <c r="G6508" s="92">
        <f>EXP($C$12+$C$8*_xlfn.NORM.S.INV(RAND()))</f>
        <v/>
      </c>
    </row>
    <row r="6509">
      <c r="F6509">
        <f>F6508+1</f>
        <v/>
      </c>
      <c r="G6509" s="92">
        <f>EXP($C$12+$C$8*_xlfn.NORM.S.INV(RAND()))</f>
        <v/>
      </c>
    </row>
    <row r="6510">
      <c r="F6510">
        <f>F6509+1</f>
        <v/>
      </c>
      <c r="G6510" s="92">
        <f>EXP($C$12+$C$8*_xlfn.NORM.S.INV(RAND()))</f>
        <v/>
      </c>
    </row>
    <row r="6511">
      <c r="F6511">
        <f>F6510+1</f>
        <v/>
      </c>
      <c r="G6511" s="92">
        <f>EXP($C$12+$C$8*_xlfn.NORM.S.INV(RAND()))</f>
        <v/>
      </c>
    </row>
    <row r="6512">
      <c r="F6512">
        <f>F6511+1</f>
        <v/>
      </c>
      <c r="G6512" s="92">
        <f>EXP($C$12+$C$8*_xlfn.NORM.S.INV(RAND()))</f>
        <v/>
      </c>
    </row>
    <row r="6513">
      <c r="F6513">
        <f>F6512+1</f>
        <v/>
      </c>
      <c r="G6513" s="92">
        <f>EXP($C$12+$C$8*_xlfn.NORM.S.INV(RAND()))</f>
        <v/>
      </c>
    </row>
    <row r="6514">
      <c r="F6514">
        <f>F6513+1</f>
        <v/>
      </c>
      <c r="G6514" s="92">
        <f>EXP($C$12+$C$8*_xlfn.NORM.S.INV(RAND()))</f>
        <v/>
      </c>
    </row>
    <row r="6515">
      <c r="F6515">
        <f>F6514+1</f>
        <v/>
      </c>
      <c r="G6515" s="92">
        <f>EXP($C$12+$C$8*_xlfn.NORM.S.INV(RAND()))</f>
        <v/>
      </c>
    </row>
    <row r="6516">
      <c r="F6516">
        <f>F6515+1</f>
        <v/>
      </c>
      <c r="G6516" s="92">
        <f>EXP($C$12+$C$8*_xlfn.NORM.S.INV(RAND()))</f>
        <v/>
      </c>
    </row>
    <row r="6517">
      <c r="F6517">
        <f>F6516+1</f>
        <v/>
      </c>
      <c r="G6517" s="92">
        <f>EXP($C$12+$C$8*_xlfn.NORM.S.INV(RAND()))</f>
        <v/>
      </c>
    </row>
    <row r="6518">
      <c r="F6518">
        <f>F6517+1</f>
        <v/>
      </c>
      <c r="G6518" s="92">
        <f>EXP($C$12+$C$8*_xlfn.NORM.S.INV(RAND()))</f>
        <v/>
      </c>
    </row>
    <row r="6519">
      <c r="F6519">
        <f>F6518+1</f>
        <v/>
      </c>
      <c r="G6519" s="92">
        <f>EXP($C$12+$C$8*_xlfn.NORM.S.INV(RAND()))</f>
        <v/>
      </c>
    </row>
    <row r="6520">
      <c r="F6520">
        <f>F6519+1</f>
        <v/>
      </c>
      <c r="G6520" s="92">
        <f>EXP($C$12+$C$8*_xlfn.NORM.S.INV(RAND()))</f>
        <v/>
      </c>
    </row>
    <row r="6521">
      <c r="F6521">
        <f>F6520+1</f>
        <v/>
      </c>
      <c r="G6521" s="92">
        <f>EXP($C$12+$C$8*_xlfn.NORM.S.INV(RAND()))</f>
        <v/>
      </c>
    </row>
    <row r="6522">
      <c r="F6522">
        <f>F6521+1</f>
        <v/>
      </c>
      <c r="G6522" s="92">
        <f>EXP($C$12+$C$8*_xlfn.NORM.S.INV(RAND()))</f>
        <v/>
      </c>
    </row>
    <row r="6523">
      <c r="F6523">
        <f>F6522+1</f>
        <v/>
      </c>
      <c r="G6523" s="92">
        <f>EXP($C$12+$C$8*_xlfn.NORM.S.INV(RAND()))</f>
        <v/>
      </c>
    </row>
    <row r="6524">
      <c r="F6524">
        <f>F6523+1</f>
        <v/>
      </c>
      <c r="G6524" s="92">
        <f>EXP($C$12+$C$8*_xlfn.NORM.S.INV(RAND()))</f>
        <v/>
      </c>
    </row>
    <row r="6525">
      <c r="F6525">
        <f>F6524+1</f>
        <v/>
      </c>
      <c r="G6525" s="92">
        <f>EXP($C$12+$C$8*_xlfn.NORM.S.INV(RAND()))</f>
        <v/>
      </c>
    </row>
    <row r="6526">
      <c r="F6526">
        <f>F6525+1</f>
        <v/>
      </c>
      <c r="G6526" s="92">
        <f>EXP($C$12+$C$8*_xlfn.NORM.S.INV(RAND()))</f>
        <v/>
      </c>
    </row>
    <row r="6527">
      <c r="F6527">
        <f>F6526+1</f>
        <v/>
      </c>
      <c r="G6527" s="92">
        <f>EXP($C$12+$C$8*_xlfn.NORM.S.INV(RAND()))</f>
        <v/>
      </c>
    </row>
    <row r="6528">
      <c r="F6528">
        <f>F6527+1</f>
        <v/>
      </c>
      <c r="G6528" s="92">
        <f>EXP($C$12+$C$8*_xlfn.NORM.S.INV(RAND()))</f>
        <v/>
      </c>
    </row>
    <row r="6529">
      <c r="F6529">
        <f>F6528+1</f>
        <v/>
      </c>
      <c r="G6529" s="92">
        <f>EXP($C$12+$C$8*_xlfn.NORM.S.INV(RAND()))</f>
        <v/>
      </c>
    </row>
    <row r="6530">
      <c r="F6530">
        <f>F6529+1</f>
        <v/>
      </c>
      <c r="G6530" s="92">
        <f>EXP($C$12+$C$8*_xlfn.NORM.S.INV(RAND()))</f>
        <v/>
      </c>
    </row>
    <row r="6531">
      <c r="F6531">
        <f>F6530+1</f>
        <v/>
      </c>
      <c r="G6531" s="92">
        <f>EXP($C$12+$C$8*_xlfn.NORM.S.INV(RAND()))</f>
        <v/>
      </c>
    </row>
    <row r="6532">
      <c r="F6532">
        <f>F6531+1</f>
        <v/>
      </c>
      <c r="G6532" s="92">
        <f>EXP($C$12+$C$8*_xlfn.NORM.S.INV(RAND()))</f>
        <v/>
      </c>
    </row>
    <row r="6533">
      <c r="F6533">
        <f>F6532+1</f>
        <v/>
      </c>
      <c r="G6533" s="92">
        <f>EXP($C$12+$C$8*_xlfn.NORM.S.INV(RAND()))</f>
        <v/>
      </c>
    </row>
    <row r="6534">
      <c r="F6534">
        <f>F6533+1</f>
        <v/>
      </c>
      <c r="G6534" s="92">
        <f>EXP($C$12+$C$8*_xlfn.NORM.S.INV(RAND()))</f>
        <v/>
      </c>
    </row>
    <row r="6535">
      <c r="F6535">
        <f>F6534+1</f>
        <v/>
      </c>
      <c r="G6535" s="92">
        <f>EXP($C$12+$C$8*_xlfn.NORM.S.INV(RAND()))</f>
        <v/>
      </c>
    </row>
    <row r="6536">
      <c r="F6536">
        <f>F6535+1</f>
        <v/>
      </c>
      <c r="G6536" s="92">
        <f>EXP($C$12+$C$8*_xlfn.NORM.S.INV(RAND()))</f>
        <v/>
      </c>
    </row>
    <row r="6537">
      <c r="F6537">
        <f>F6536+1</f>
        <v/>
      </c>
      <c r="G6537" s="92">
        <f>EXP($C$12+$C$8*_xlfn.NORM.S.INV(RAND()))</f>
        <v/>
      </c>
    </row>
    <row r="6538">
      <c r="F6538">
        <f>F6537+1</f>
        <v/>
      </c>
      <c r="G6538" s="92">
        <f>EXP($C$12+$C$8*_xlfn.NORM.S.INV(RAND()))</f>
        <v/>
      </c>
    </row>
    <row r="6539">
      <c r="F6539">
        <f>F6538+1</f>
        <v/>
      </c>
      <c r="G6539" s="92">
        <f>EXP($C$12+$C$8*_xlfn.NORM.S.INV(RAND()))</f>
        <v/>
      </c>
    </row>
    <row r="6540">
      <c r="F6540">
        <f>F6539+1</f>
        <v/>
      </c>
      <c r="G6540" s="92">
        <f>EXP($C$12+$C$8*_xlfn.NORM.S.INV(RAND()))</f>
        <v/>
      </c>
    </row>
    <row r="6541">
      <c r="F6541">
        <f>F6540+1</f>
        <v/>
      </c>
      <c r="G6541" s="92">
        <f>EXP($C$12+$C$8*_xlfn.NORM.S.INV(RAND()))</f>
        <v/>
      </c>
    </row>
    <row r="6542">
      <c r="F6542">
        <f>F6541+1</f>
        <v/>
      </c>
      <c r="G6542" s="92">
        <f>EXP($C$12+$C$8*_xlfn.NORM.S.INV(RAND()))</f>
        <v/>
      </c>
    </row>
    <row r="6543">
      <c r="F6543">
        <f>F6542+1</f>
        <v/>
      </c>
      <c r="G6543" s="92">
        <f>EXP($C$12+$C$8*_xlfn.NORM.S.INV(RAND()))</f>
        <v/>
      </c>
    </row>
    <row r="6544">
      <c r="F6544">
        <f>F6543+1</f>
        <v/>
      </c>
      <c r="G6544" s="92">
        <f>EXP($C$12+$C$8*_xlfn.NORM.S.INV(RAND()))</f>
        <v/>
      </c>
    </row>
    <row r="6545">
      <c r="F6545">
        <f>F6544+1</f>
        <v/>
      </c>
      <c r="G6545" s="92">
        <f>EXP($C$12+$C$8*_xlfn.NORM.S.INV(RAND()))</f>
        <v/>
      </c>
    </row>
    <row r="6546">
      <c r="F6546">
        <f>F6545+1</f>
        <v/>
      </c>
      <c r="G6546" s="92">
        <f>EXP($C$12+$C$8*_xlfn.NORM.S.INV(RAND()))</f>
        <v/>
      </c>
    </row>
    <row r="6547">
      <c r="F6547">
        <f>F6546+1</f>
        <v/>
      </c>
      <c r="G6547" s="92">
        <f>EXP($C$12+$C$8*_xlfn.NORM.S.INV(RAND()))</f>
        <v/>
      </c>
    </row>
    <row r="6548">
      <c r="F6548">
        <f>F6547+1</f>
        <v/>
      </c>
      <c r="G6548" s="92">
        <f>EXP($C$12+$C$8*_xlfn.NORM.S.INV(RAND()))</f>
        <v/>
      </c>
    </row>
    <row r="6549">
      <c r="F6549">
        <f>F6548+1</f>
        <v/>
      </c>
      <c r="G6549" s="92">
        <f>EXP($C$12+$C$8*_xlfn.NORM.S.INV(RAND()))</f>
        <v/>
      </c>
    </row>
    <row r="6550">
      <c r="F6550">
        <f>F6549+1</f>
        <v/>
      </c>
      <c r="G6550" s="92">
        <f>EXP($C$12+$C$8*_xlfn.NORM.S.INV(RAND()))</f>
        <v/>
      </c>
    </row>
    <row r="6551">
      <c r="F6551">
        <f>F6550+1</f>
        <v/>
      </c>
      <c r="G6551" s="92">
        <f>EXP($C$12+$C$8*_xlfn.NORM.S.INV(RAND()))</f>
        <v/>
      </c>
    </row>
    <row r="6552">
      <c r="F6552">
        <f>F6551+1</f>
        <v/>
      </c>
      <c r="G6552" s="92">
        <f>EXP($C$12+$C$8*_xlfn.NORM.S.INV(RAND()))</f>
        <v/>
      </c>
    </row>
    <row r="6553">
      <c r="F6553">
        <f>F6552+1</f>
        <v/>
      </c>
      <c r="G6553" s="92">
        <f>EXP($C$12+$C$8*_xlfn.NORM.S.INV(RAND()))</f>
        <v/>
      </c>
    </row>
    <row r="6554">
      <c r="F6554">
        <f>F6553+1</f>
        <v/>
      </c>
      <c r="G6554" s="92">
        <f>EXP($C$12+$C$8*_xlfn.NORM.S.INV(RAND()))</f>
        <v/>
      </c>
    </row>
    <row r="6555">
      <c r="F6555">
        <f>F6554+1</f>
        <v/>
      </c>
      <c r="G6555" s="92">
        <f>EXP($C$12+$C$8*_xlfn.NORM.S.INV(RAND()))</f>
        <v/>
      </c>
    </row>
    <row r="6556">
      <c r="F6556">
        <f>F6555+1</f>
        <v/>
      </c>
      <c r="G6556" s="92">
        <f>EXP($C$12+$C$8*_xlfn.NORM.S.INV(RAND()))</f>
        <v/>
      </c>
    </row>
    <row r="6557">
      <c r="F6557">
        <f>F6556+1</f>
        <v/>
      </c>
      <c r="G6557" s="92">
        <f>EXP($C$12+$C$8*_xlfn.NORM.S.INV(RAND()))</f>
        <v/>
      </c>
    </row>
    <row r="6558">
      <c r="F6558">
        <f>F6557+1</f>
        <v/>
      </c>
      <c r="G6558" s="92">
        <f>EXP($C$12+$C$8*_xlfn.NORM.S.INV(RAND()))</f>
        <v/>
      </c>
    </row>
    <row r="6559">
      <c r="F6559">
        <f>F6558+1</f>
        <v/>
      </c>
      <c r="G6559" s="92">
        <f>EXP($C$12+$C$8*_xlfn.NORM.S.INV(RAND()))</f>
        <v/>
      </c>
    </row>
    <row r="6560">
      <c r="F6560">
        <f>F6559+1</f>
        <v/>
      </c>
      <c r="G6560" s="92">
        <f>EXP($C$12+$C$8*_xlfn.NORM.S.INV(RAND()))</f>
        <v/>
      </c>
    </row>
    <row r="6561">
      <c r="F6561">
        <f>F6560+1</f>
        <v/>
      </c>
      <c r="G6561" s="92">
        <f>EXP($C$12+$C$8*_xlfn.NORM.S.INV(RAND()))</f>
        <v/>
      </c>
    </row>
    <row r="6562">
      <c r="F6562">
        <f>F6561+1</f>
        <v/>
      </c>
      <c r="G6562" s="92">
        <f>EXP($C$12+$C$8*_xlfn.NORM.S.INV(RAND()))</f>
        <v/>
      </c>
    </row>
    <row r="6563">
      <c r="F6563">
        <f>F6562+1</f>
        <v/>
      </c>
      <c r="G6563" s="92">
        <f>EXP($C$12+$C$8*_xlfn.NORM.S.INV(RAND()))</f>
        <v/>
      </c>
    </row>
    <row r="6564">
      <c r="F6564">
        <f>F6563+1</f>
        <v/>
      </c>
      <c r="G6564" s="92">
        <f>EXP($C$12+$C$8*_xlfn.NORM.S.INV(RAND()))</f>
        <v/>
      </c>
    </row>
    <row r="6565">
      <c r="F6565">
        <f>F6564+1</f>
        <v/>
      </c>
      <c r="G6565" s="92">
        <f>EXP($C$12+$C$8*_xlfn.NORM.S.INV(RAND()))</f>
        <v/>
      </c>
    </row>
    <row r="6566">
      <c r="F6566">
        <f>F6565+1</f>
        <v/>
      </c>
      <c r="G6566" s="92">
        <f>EXP($C$12+$C$8*_xlfn.NORM.S.INV(RAND()))</f>
        <v/>
      </c>
    </row>
    <row r="6567">
      <c r="F6567">
        <f>F6566+1</f>
        <v/>
      </c>
      <c r="G6567" s="92">
        <f>EXP($C$12+$C$8*_xlfn.NORM.S.INV(RAND()))</f>
        <v/>
      </c>
    </row>
    <row r="6568">
      <c r="F6568">
        <f>F6567+1</f>
        <v/>
      </c>
      <c r="G6568" s="92">
        <f>EXP($C$12+$C$8*_xlfn.NORM.S.INV(RAND()))</f>
        <v/>
      </c>
    </row>
    <row r="6569">
      <c r="F6569">
        <f>F6568+1</f>
        <v/>
      </c>
      <c r="G6569" s="92">
        <f>EXP($C$12+$C$8*_xlfn.NORM.S.INV(RAND()))</f>
        <v/>
      </c>
    </row>
    <row r="6570">
      <c r="F6570">
        <f>F6569+1</f>
        <v/>
      </c>
      <c r="G6570" s="92">
        <f>EXP($C$12+$C$8*_xlfn.NORM.S.INV(RAND()))</f>
        <v/>
      </c>
    </row>
    <row r="6571">
      <c r="F6571">
        <f>F6570+1</f>
        <v/>
      </c>
      <c r="G6571" s="92">
        <f>EXP($C$12+$C$8*_xlfn.NORM.S.INV(RAND()))</f>
        <v/>
      </c>
    </row>
    <row r="6572">
      <c r="F6572">
        <f>F6571+1</f>
        <v/>
      </c>
      <c r="G6572" s="92">
        <f>EXP($C$12+$C$8*_xlfn.NORM.S.INV(RAND()))</f>
        <v/>
      </c>
    </row>
    <row r="6573">
      <c r="F6573">
        <f>F6572+1</f>
        <v/>
      </c>
      <c r="G6573" s="92">
        <f>EXP($C$12+$C$8*_xlfn.NORM.S.INV(RAND()))</f>
        <v/>
      </c>
    </row>
    <row r="6574">
      <c r="F6574">
        <f>F6573+1</f>
        <v/>
      </c>
      <c r="G6574" s="92">
        <f>EXP($C$12+$C$8*_xlfn.NORM.S.INV(RAND()))</f>
        <v/>
      </c>
    </row>
    <row r="6575">
      <c r="F6575">
        <f>F6574+1</f>
        <v/>
      </c>
      <c r="G6575" s="92">
        <f>EXP($C$12+$C$8*_xlfn.NORM.S.INV(RAND()))</f>
        <v/>
      </c>
    </row>
    <row r="6576">
      <c r="F6576">
        <f>F6575+1</f>
        <v/>
      </c>
      <c r="G6576" s="92">
        <f>EXP($C$12+$C$8*_xlfn.NORM.S.INV(RAND()))</f>
        <v/>
      </c>
    </row>
    <row r="6577">
      <c r="F6577">
        <f>F6576+1</f>
        <v/>
      </c>
      <c r="G6577" s="92">
        <f>EXP($C$12+$C$8*_xlfn.NORM.S.INV(RAND()))</f>
        <v/>
      </c>
    </row>
    <row r="6578">
      <c r="F6578">
        <f>F6577+1</f>
        <v/>
      </c>
      <c r="G6578" s="92">
        <f>EXP($C$12+$C$8*_xlfn.NORM.S.INV(RAND()))</f>
        <v/>
      </c>
    </row>
    <row r="6579">
      <c r="F6579">
        <f>F6578+1</f>
        <v/>
      </c>
      <c r="G6579" s="92">
        <f>EXP($C$12+$C$8*_xlfn.NORM.S.INV(RAND()))</f>
        <v/>
      </c>
    </row>
    <row r="6580">
      <c r="F6580">
        <f>F6579+1</f>
        <v/>
      </c>
      <c r="G6580" s="92">
        <f>EXP($C$12+$C$8*_xlfn.NORM.S.INV(RAND()))</f>
        <v/>
      </c>
    </row>
    <row r="6581">
      <c r="F6581">
        <f>F6580+1</f>
        <v/>
      </c>
      <c r="G6581" s="92">
        <f>EXP($C$12+$C$8*_xlfn.NORM.S.INV(RAND()))</f>
        <v/>
      </c>
    </row>
    <row r="6582">
      <c r="F6582">
        <f>F6581+1</f>
        <v/>
      </c>
      <c r="G6582" s="92">
        <f>EXP($C$12+$C$8*_xlfn.NORM.S.INV(RAND()))</f>
        <v/>
      </c>
    </row>
    <row r="6583">
      <c r="F6583">
        <f>F6582+1</f>
        <v/>
      </c>
      <c r="G6583" s="92">
        <f>EXP($C$12+$C$8*_xlfn.NORM.S.INV(RAND()))</f>
        <v/>
      </c>
    </row>
    <row r="6584">
      <c r="F6584">
        <f>F6583+1</f>
        <v/>
      </c>
      <c r="G6584" s="92">
        <f>EXP($C$12+$C$8*_xlfn.NORM.S.INV(RAND()))</f>
        <v/>
      </c>
    </row>
    <row r="6585">
      <c r="F6585">
        <f>F6584+1</f>
        <v/>
      </c>
      <c r="G6585" s="92">
        <f>EXP($C$12+$C$8*_xlfn.NORM.S.INV(RAND()))</f>
        <v/>
      </c>
    </row>
    <row r="6586">
      <c r="F6586">
        <f>F6585+1</f>
        <v/>
      </c>
      <c r="G6586" s="92">
        <f>EXP($C$12+$C$8*_xlfn.NORM.S.INV(RAND()))</f>
        <v/>
      </c>
    </row>
    <row r="6587">
      <c r="F6587">
        <f>F6586+1</f>
        <v/>
      </c>
      <c r="G6587" s="92">
        <f>EXP($C$12+$C$8*_xlfn.NORM.S.INV(RAND()))</f>
        <v/>
      </c>
    </row>
    <row r="6588">
      <c r="F6588">
        <f>F6587+1</f>
        <v/>
      </c>
      <c r="G6588" s="92">
        <f>EXP($C$12+$C$8*_xlfn.NORM.S.INV(RAND()))</f>
        <v/>
      </c>
    </row>
    <row r="6589">
      <c r="F6589">
        <f>F6588+1</f>
        <v/>
      </c>
      <c r="G6589" s="92">
        <f>EXP($C$12+$C$8*_xlfn.NORM.S.INV(RAND()))</f>
        <v/>
      </c>
    </row>
    <row r="6590">
      <c r="F6590">
        <f>F6589+1</f>
        <v/>
      </c>
      <c r="G6590" s="92">
        <f>EXP($C$12+$C$8*_xlfn.NORM.S.INV(RAND()))</f>
        <v/>
      </c>
    </row>
    <row r="6591">
      <c r="F6591">
        <f>F6590+1</f>
        <v/>
      </c>
      <c r="G6591" s="92">
        <f>EXP($C$12+$C$8*_xlfn.NORM.S.INV(RAND()))</f>
        <v/>
      </c>
    </row>
    <row r="6592">
      <c r="F6592">
        <f>F6591+1</f>
        <v/>
      </c>
      <c r="G6592" s="92">
        <f>EXP($C$12+$C$8*_xlfn.NORM.S.INV(RAND()))</f>
        <v/>
      </c>
    </row>
    <row r="6593">
      <c r="F6593">
        <f>F6592+1</f>
        <v/>
      </c>
      <c r="G6593" s="92">
        <f>EXP($C$12+$C$8*_xlfn.NORM.S.INV(RAND()))</f>
        <v/>
      </c>
    </row>
    <row r="6594">
      <c r="F6594">
        <f>F6593+1</f>
        <v/>
      </c>
      <c r="G6594" s="92">
        <f>EXP($C$12+$C$8*_xlfn.NORM.S.INV(RAND()))</f>
        <v/>
      </c>
    </row>
    <row r="6595">
      <c r="F6595">
        <f>F6594+1</f>
        <v/>
      </c>
      <c r="G6595" s="92">
        <f>EXP($C$12+$C$8*_xlfn.NORM.S.INV(RAND()))</f>
        <v/>
      </c>
    </row>
    <row r="6596">
      <c r="F6596">
        <f>F6595+1</f>
        <v/>
      </c>
      <c r="G6596" s="92">
        <f>EXP($C$12+$C$8*_xlfn.NORM.S.INV(RAND()))</f>
        <v/>
      </c>
    </row>
    <row r="6597">
      <c r="F6597">
        <f>F6596+1</f>
        <v/>
      </c>
      <c r="G6597" s="92">
        <f>EXP($C$12+$C$8*_xlfn.NORM.S.INV(RAND()))</f>
        <v/>
      </c>
    </row>
    <row r="6598">
      <c r="F6598">
        <f>F6597+1</f>
        <v/>
      </c>
      <c r="G6598" s="92">
        <f>EXP($C$12+$C$8*_xlfn.NORM.S.INV(RAND()))</f>
        <v/>
      </c>
    </row>
    <row r="6599">
      <c r="F6599">
        <f>F6598+1</f>
        <v/>
      </c>
      <c r="G6599" s="92">
        <f>EXP($C$12+$C$8*_xlfn.NORM.S.INV(RAND()))</f>
        <v/>
      </c>
    </row>
    <row r="6600">
      <c r="F6600">
        <f>F6599+1</f>
        <v/>
      </c>
      <c r="G6600" s="92">
        <f>EXP($C$12+$C$8*_xlfn.NORM.S.INV(RAND()))</f>
        <v/>
      </c>
    </row>
    <row r="6601">
      <c r="F6601">
        <f>F6600+1</f>
        <v/>
      </c>
      <c r="G6601" s="92">
        <f>EXP($C$12+$C$8*_xlfn.NORM.S.INV(RAND()))</f>
        <v/>
      </c>
    </row>
    <row r="6602">
      <c r="F6602">
        <f>F6601+1</f>
        <v/>
      </c>
      <c r="G6602" s="92">
        <f>EXP($C$12+$C$8*_xlfn.NORM.S.INV(RAND()))</f>
        <v/>
      </c>
    </row>
    <row r="6603">
      <c r="F6603">
        <f>F6602+1</f>
        <v/>
      </c>
      <c r="G6603" s="92">
        <f>EXP($C$12+$C$8*_xlfn.NORM.S.INV(RAND()))</f>
        <v/>
      </c>
    </row>
    <row r="6604">
      <c r="F6604">
        <f>F6603+1</f>
        <v/>
      </c>
      <c r="G6604" s="92">
        <f>EXP($C$12+$C$8*_xlfn.NORM.S.INV(RAND()))</f>
        <v/>
      </c>
    </row>
    <row r="6605">
      <c r="F6605">
        <f>F6604+1</f>
        <v/>
      </c>
      <c r="G6605" s="92">
        <f>EXP($C$12+$C$8*_xlfn.NORM.S.INV(RAND()))</f>
        <v/>
      </c>
    </row>
    <row r="6606">
      <c r="F6606">
        <f>F6605+1</f>
        <v/>
      </c>
      <c r="G6606" s="92">
        <f>EXP($C$12+$C$8*_xlfn.NORM.S.INV(RAND()))</f>
        <v/>
      </c>
    </row>
    <row r="6607">
      <c r="F6607">
        <f>F6606+1</f>
        <v/>
      </c>
      <c r="G6607" s="92">
        <f>EXP($C$12+$C$8*_xlfn.NORM.S.INV(RAND()))</f>
        <v/>
      </c>
    </row>
    <row r="6608">
      <c r="F6608">
        <f>F6607+1</f>
        <v/>
      </c>
      <c r="G6608" s="92">
        <f>EXP($C$12+$C$8*_xlfn.NORM.S.INV(RAND()))</f>
        <v/>
      </c>
    </row>
    <row r="6609">
      <c r="F6609">
        <f>F6608+1</f>
        <v/>
      </c>
      <c r="G6609" s="92">
        <f>EXP($C$12+$C$8*_xlfn.NORM.S.INV(RAND()))</f>
        <v/>
      </c>
    </row>
    <row r="6610">
      <c r="F6610">
        <f>F6609+1</f>
        <v/>
      </c>
      <c r="G6610" s="92">
        <f>EXP($C$12+$C$8*_xlfn.NORM.S.INV(RAND()))</f>
        <v/>
      </c>
    </row>
    <row r="6611">
      <c r="F6611">
        <f>F6610+1</f>
        <v/>
      </c>
      <c r="G6611" s="92">
        <f>EXP($C$12+$C$8*_xlfn.NORM.S.INV(RAND()))</f>
        <v/>
      </c>
    </row>
    <row r="6612">
      <c r="F6612">
        <f>F6611+1</f>
        <v/>
      </c>
      <c r="G6612" s="92">
        <f>EXP($C$12+$C$8*_xlfn.NORM.S.INV(RAND()))</f>
        <v/>
      </c>
    </row>
    <row r="6613">
      <c r="F6613">
        <f>F6612+1</f>
        <v/>
      </c>
      <c r="G6613" s="92">
        <f>EXP($C$12+$C$8*_xlfn.NORM.S.INV(RAND()))</f>
        <v/>
      </c>
    </row>
    <row r="6614">
      <c r="F6614">
        <f>F6613+1</f>
        <v/>
      </c>
      <c r="G6614" s="92">
        <f>EXP($C$12+$C$8*_xlfn.NORM.S.INV(RAND()))</f>
        <v/>
      </c>
    </row>
    <row r="6615">
      <c r="F6615">
        <f>F6614+1</f>
        <v/>
      </c>
      <c r="G6615" s="92">
        <f>EXP($C$12+$C$8*_xlfn.NORM.S.INV(RAND()))</f>
        <v/>
      </c>
    </row>
    <row r="6616">
      <c r="F6616">
        <f>F6615+1</f>
        <v/>
      </c>
      <c r="G6616" s="92">
        <f>EXP($C$12+$C$8*_xlfn.NORM.S.INV(RAND()))</f>
        <v/>
      </c>
    </row>
    <row r="6617">
      <c r="F6617">
        <f>F6616+1</f>
        <v/>
      </c>
      <c r="G6617" s="92">
        <f>EXP($C$12+$C$8*_xlfn.NORM.S.INV(RAND()))</f>
        <v/>
      </c>
    </row>
    <row r="6618">
      <c r="F6618">
        <f>F6617+1</f>
        <v/>
      </c>
      <c r="G6618" s="92">
        <f>EXP($C$12+$C$8*_xlfn.NORM.S.INV(RAND()))</f>
        <v/>
      </c>
    </row>
    <row r="6619">
      <c r="F6619">
        <f>F6618+1</f>
        <v/>
      </c>
      <c r="G6619" s="92">
        <f>EXP($C$12+$C$8*_xlfn.NORM.S.INV(RAND()))</f>
        <v/>
      </c>
    </row>
    <row r="6620">
      <c r="F6620">
        <f>F6619+1</f>
        <v/>
      </c>
      <c r="G6620" s="92">
        <f>EXP($C$12+$C$8*_xlfn.NORM.S.INV(RAND()))</f>
        <v/>
      </c>
    </row>
    <row r="6621">
      <c r="F6621">
        <f>F6620+1</f>
        <v/>
      </c>
      <c r="G6621" s="92">
        <f>EXP($C$12+$C$8*_xlfn.NORM.S.INV(RAND()))</f>
        <v/>
      </c>
    </row>
    <row r="6622">
      <c r="F6622">
        <f>F6621+1</f>
        <v/>
      </c>
      <c r="G6622" s="92">
        <f>EXP($C$12+$C$8*_xlfn.NORM.S.INV(RAND()))</f>
        <v/>
      </c>
    </row>
    <row r="6623">
      <c r="F6623">
        <f>F6622+1</f>
        <v/>
      </c>
      <c r="G6623" s="92">
        <f>EXP($C$12+$C$8*_xlfn.NORM.S.INV(RAND()))</f>
        <v/>
      </c>
    </row>
    <row r="6624">
      <c r="F6624">
        <f>F6623+1</f>
        <v/>
      </c>
      <c r="G6624" s="92">
        <f>EXP($C$12+$C$8*_xlfn.NORM.S.INV(RAND()))</f>
        <v/>
      </c>
    </row>
    <row r="6625">
      <c r="F6625">
        <f>F6624+1</f>
        <v/>
      </c>
      <c r="G6625" s="92">
        <f>EXP($C$12+$C$8*_xlfn.NORM.S.INV(RAND()))</f>
        <v/>
      </c>
    </row>
    <row r="6626">
      <c r="F6626">
        <f>F6625+1</f>
        <v/>
      </c>
      <c r="G6626" s="92">
        <f>EXP($C$12+$C$8*_xlfn.NORM.S.INV(RAND()))</f>
        <v/>
      </c>
    </row>
    <row r="6627">
      <c r="F6627">
        <f>F6626+1</f>
        <v/>
      </c>
      <c r="G6627" s="92">
        <f>EXP($C$12+$C$8*_xlfn.NORM.S.INV(RAND()))</f>
        <v/>
      </c>
    </row>
    <row r="6628">
      <c r="F6628">
        <f>F6627+1</f>
        <v/>
      </c>
      <c r="G6628" s="92">
        <f>EXP($C$12+$C$8*_xlfn.NORM.S.INV(RAND()))</f>
        <v/>
      </c>
    </row>
    <row r="6629">
      <c r="F6629">
        <f>F6628+1</f>
        <v/>
      </c>
      <c r="G6629" s="92">
        <f>EXP($C$12+$C$8*_xlfn.NORM.S.INV(RAND()))</f>
        <v/>
      </c>
    </row>
    <row r="6630">
      <c r="F6630">
        <f>F6629+1</f>
        <v/>
      </c>
      <c r="G6630" s="92">
        <f>EXP($C$12+$C$8*_xlfn.NORM.S.INV(RAND()))</f>
        <v/>
      </c>
    </row>
    <row r="6631">
      <c r="F6631">
        <f>F6630+1</f>
        <v/>
      </c>
      <c r="G6631" s="92">
        <f>EXP($C$12+$C$8*_xlfn.NORM.S.INV(RAND()))</f>
        <v/>
      </c>
    </row>
    <row r="6632">
      <c r="F6632">
        <f>F6631+1</f>
        <v/>
      </c>
      <c r="G6632" s="92">
        <f>EXP($C$12+$C$8*_xlfn.NORM.S.INV(RAND()))</f>
        <v/>
      </c>
    </row>
    <row r="6633">
      <c r="F6633">
        <f>F6632+1</f>
        <v/>
      </c>
      <c r="G6633" s="92">
        <f>EXP($C$12+$C$8*_xlfn.NORM.S.INV(RAND()))</f>
        <v/>
      </c>
    </row>
    <row r="6634">
      <c r="F6634">
        <f>F6633+1</f>
        <v/>
      </c>
      <c r="G6634" s="92">
        <f>EXP($C$12+$C$8*_xlfn.NORM.S.INV(RAND()))</f>
        <v/>
      </c>
    </row>
    <row r="6635">
      <c r="F6635">
        <f>F6634+1</f>
        <v/>
      </c>
      <c r="G6635" s="92">
        <f>EXP($C$12+$C$8*_xlfn.NORM.S.INV(RAND()))</f>
        <v/>
      </c>
    </row>
    <row r="6636">
      <c r="F6636">
        <f>F6635+1</f>
        <v/>
      </c>
      <c r="G6636" s="92">
        <f>EXP($C$12+$C$8*_xlfn.NORM.S.INV(RAND()))</f>
        <v/>
      </c>
    </row>
    <row r="6637">
      <c r="F6637">
        <f>F6636+1</f>
        <v/>
      </c>
      <c r="G6637" s="92">
        <f>EXP($C$12+$C$8*_xlfn.NORM.S.INV(RAND()))</f>
        <v/>
      </c>
    </row>
    <row r="6638">
      <c r="F6638">
        <f>F6637+1</f>
        <v/>
      </c>
      <c r="G6638" s="92">
        <f>EXP($C$12+$C$8*_xlfn.NORM.S.INV(RAND()))</f>
        <v/>
      </c>
    </row>
    <row r="6639">
      <c r="F6639">
        <f>F6638+1</f>
        <v/>
      </c>
      <c r="G6639" s="92">
        <f>EXP($C$12+$C$8*_xlfn.NORM.S.INV(RAND()))</f>
        <v/>
      </c>
    </row>
    <row r="6640">
      <c r="F6640">
        <f>F6639+1</f>
        <v/>
      </c>
      <c r="G6640" s="92">
        <f>EXP($C$12+$C$8*_xlfn.NORM.S.INV(RAND()))</f>
        <v/>
      </c>
    </row>
    <row r="6641">
      <c r="F6641">
        <f>F6640+1</f>
        <v/>
      </c>
      <c r="G6641" s="92">
        <f>EXP($C$12+$C$8*_xlfn.NORM.S.INV(RAND()))</f>
        <v/>
      </c>
    </row>
    <row r="6642">
      <c r="F6642">
        <f>F6641+1</f>
        <v/>
      </c>
      <c r="G6642" s="92">
        <f>EXP($C$12+$C$8*_xlfn.NORM.S.INV(RAND()))</f>
        <v/>
      </c>
    </row>
    <row r="6643">
      <c r="F6643">
        <f>F6642+1</f>
        <v/>
      </c>
      <c r="G6643" s="92">
        <f>EXP($C$12+$C$8*_xlfn.NORM.S.INV(RAND()))</f>
        <v/>
      </c>
    </row>
    <row r="6644">
      <c r="F6644">
        <f>F6643+1</f>
        <v/>
      </c>
      <c r="G6644" s="92">
        <f>EXP($C$12+$C$8*_xlfn.NORM.S.INV(RAND()))</f>
        <v/>
      </c>
    </row>
    <row r="6645">
      <c r="F6645">
        <f>F6644+1</f>
        <v/>
      </c>
      <c r="G6645" s="92">
        <f>EXP($C$12+$C$8*_xlfn.NORM.S.INV(RAND()))</f>
        <v/>
      </c>
    </row>
    <row r="6646">
      <c r="F6646">
        <f>F6645+1</f>
        <v/>
      </c>
      <c r="G6646" s="92">
        <f>EXP($C$12+$C$8*_xlfn.NORM.S.INV(RAND()))</f>
        <v/>
      </c>
    </row>
    <row r="6647">
      <c r="F6647">
        <f>F6646+1</f>
        <v/>
      </c>
      <c r="G6647" s="92">
        <f>EXP($C$12+$C$8*_xlfn.NORM.S.INV(RAND()))</f>
        <v/>
      </c>
    </row>
    <row r="6648">
      <c r="F6648">
        <f>F6647+1</f>
        <v/>
      </c>
      <c r="G6648" s="92">
        <f>EXP($C$12+$C$8*_xlfn.NORM.S.INV(RAND()))</f>
        <v/>
      </c>
    </row>
    <row r="6649">
      <c r="F6649">
        <f>F6648+1</f>
        <v/>
      </c>
      <c r="G6649" s="92">
        <f>EXP($C$12+$C$8*_xlfn.NORM.S.INV(RAND()))</f>
        <v/>
      </c>
    </row>
    <row r="6650">
      <c r="F6650">
        <f>F6649+1</f>
        <v/>
      </c>
      <c r="G6650" s="92">
        <f>EXP($C$12+$C$8*_xlfn.NORM.S.INV(RAND()))</f>
        <v/>
      </c>
    </row>
    <row r="6651">
      <c r="F6651">
        <f>F6650+1</f>
        <v/>
      </c>
      <c r="G6651" s="92">
        <f>EXP($C$12+$C$8*_xlfn.NORM.S.INV(RAND()))</f>
        <v/>
      </c>
    </row>
    <row r="6652">
      <c r="F6652">
        <f>F6651+1</f>
        <v/>
      </c>
      <c r="G6652" s="92">
        <f>EXP($C$12+$C$8*_xlfn.NORM.S.INV(RAND()))</f>
        <v/>
      </c>
    </row>
    <row r="6653">
      <c r="F6653">
        <f>F6652+1</f>
        <v/>
      </c>
      <c r="G6653" s="92">
        <f>EXP($C$12+$C$8*_xlfn.NORM.S.INV(RAND()))</f>
        <v/>
      </c>
    </row>
    <row r="6654">
      <c r="F6654">
        <f>F6653+1</f>
        <v/>
      </c>
      <c r="G6654" s="92">
        <f>EXP($C$12+$C$8*_xlfn.NORM.S.INV(RAND()))</f>
        <v/>
      </c>
    </row>
    <row r="6655">
      <c r="F6655">
        <f>F6654+1</f>
        <v/>
      </c>
      <c r="G6655" s="92">
        <f>EXP($C$12+$C$8*_xlfn.NORM.S.INV(RAND()))</f>
        <v/>
      </c>
    </row>
    <row r="6656">
      <c r="F6656">
        <f>F6655+1</f>
        <v/>
      </c>
      <c r="G6656" s="92">
        <f>EXP($C$12+$C$8*_xlfn.NORM.S.INV(RAND()))</f>
        <v/>
      </c>
    </row>
    <row r="6657">
      <c r="F6657">
        <f>F6656+1</f>
        <v/>
      </c>
      <c r="G6657" s="92">
        <f>EXP($C$12+$C$8*_xlfn.NORM.S.INV(RAND()))</f>
        <v/>
      </c>
    </row>
    <row r="6658">
      <c r="F6658">
        <f>F6657+1</f>
        <v/>
      </c>
      <c r="G6658" s="92">
        <f>EXP($C$12+$C$8*_xlfn.NORM.S.INV(RAND()))</f>
        <v/>
      </c>
    </row>
    <row r="6659">
      <c r="F6659">
        <f>F6658+1</f>
        <v/>
      </c>
      <c r="G6659" s="92">
        <f>EXP($C$12+$C$8*_xlfn.NORM.S.INV(RAND()))</f>
        <v/>
      </c>
    </row>
    <row r="6660">
      <c r="F6660">
        <f>F6659+1</f>
        <v/>
      </c>
      <c r="G6660" s="92">
        <f>EXP($C$12+$C$8*_xlfn.NORM.S.INV(RAND()))</f>
        <v/>
      </c>
    </row>
    <row r="6661">
      <c r="F6661">
        <f>F6660+1</f>
        <v/>
      </c>
      <c r="G6661" s="92">
        <f>EXP($C$12+$C$8*_xlfn.NORM.S.INV(RAND()))</f>
        <v/>
      </c>
    </row>
    <row r="6662">
      <c r="F6662">
        <f>F6661+1</f>
        <v/>
      </c>
      <c r="G6662" s="92">
        <f>EXP($C$12+$C$8*_xlfn.NORM.S.INV(RAND()))</f>
        <v/>
      </c>
    </row>
    <row r="6663">
      <c r="F6663">
        <f>F6662+1</f>
        <v/>
      </c>
      <c r="G6663" s="92">
        <f>EXP($C$12+$C$8*_xlfn.NORM.S.INV(RAND()))</f>
        <v/>
      </c>
    </row>
    <row r="6664">
      <c r="F6664">
        <f>F6663+1</f>
        <v/>
      </c>
      <c r="G6664" s="92">
        <f>EXP($C$12+$C$8*_xlfn.NORM.S.INV(RAND()))</f>
        <v/>
      </c>
    </row>
    <row r="6665">
      <c r="F6665">
        <f>F6664+1</f>
        <v/>
      </c>
      <c r="G6665" s="92">
        <f>EXP($C$12+$C$8*_xlfn.NORM.S.INV(RAND()))</f>
        <v/>
      </c>
    </row>
    <row r="6666">
      <c r="F6666">
        <f>F6665+1</f>
        <v/>
      </c>
      <c r="G6666" s="92">
        <f>EXP($C$12+$C$8*_xlfn.NORM.S.INV(RAND()))</f>
        <v/>
      </c>
    </row>
    <row r="6667">
      <c r="F6667">
        <f>F6666+1</f>
        <v/>
      </c>
      <c r="G6667" s="92">
        <f>EXP($C$12+$C$8*_xlfn.NORM.S.INV(RAND()))</f>
        <v/>
      </c>
    </row>
    <row r="6668">
      <c r="F6668">
        <f>F6667+1</f>
        <v/>
      </c>
      <c r="G6668" s="92">
        <f>EXP($C$12+$C$8*_xlfn.NORM.S.INV(RAND()))</f>
        <v/>
      </c>
    </row>
    <row r="6669">
      <c r="F6669">
        <f>F6668+1</f>
        <v/>
      </c>
      <c r="G6669" s="92">
        <f>EXP($C$12+$C$8*_xlfn.NORM.S.INV(RAND()))</f>
        <v/>
      </c>
    </row>
    <row r="6670">
      <c r="F6670">
        <f>F6669+1</f>
        <v/>
      </c>
      <c r="G6670" s="92">
        <f>EXP($C$12+$C$8*_xlfn.NORM.S.INV(RAND()))</f>
        <v/>
      </c>
    </row>
    <row r="6671">
      <c r="F6671">
        <f>F6670+1</f>
        <v/>
      </c>
      <c r="G6671" s="92">
        <f>EXP($C$12+$C$8*_xlfn.NORM.S.INV(RAND()))</f>
        <v/>
      </c>
    </row>
    <row r="6672">
      <c r="F6672">
        <f>F6671+1</f>
        <v/>
      </c>
      <c r="G6672" s="92">
        <f>EXP($C$12+$C$8*_xlfn.NORM.S.INV(RAND()))</f>
        <v/>
      </c>
    </row>
    <row r="6673">
      <c r="F6673">
        <f>F6672+1</f>
        <v/>
      </c>
      <c r="G6673" s="92">
        <f>EXP($C$12+$C$8*_xlfn.NORM.S.INV(RAND()))</f>
        <v/>
      </c>
    </row>
    <row r="6674">
      <c r="F6674">
        <f>F6673+1</f>
        <v/>
      </c>
      <c r="G6674" s="92">
        <f>EXP($C$12+$C$8*_xlfn.NORM.S.INV(RAND()))</f>
        <v/>
      </c>
    </row>
    <row r="6675">
      <c r="F6675">
        <f>F6674+1</f>
        <v/>
      </c>
      <c r="G6675" s="92">
        <f>EXP($C$12+$C$8*_xlfn.NORM.S.INV(RAND()))</f>
        <v/>
      </c>
    </row>
    <row r="6676">
      <c r="F6676">
        <f>F6675+1</f>
        <v/>
      </c>
      <c r="G6676" s="92">
        <f>EXP($C$12+$C$8*_xlfn.NORM.S.INV(RAND()))</f>
        <v/>
      </c>
    </row>
    <row r="6677">
      <c r="F6677">
        <f>F6676+1</f>
        <v/>
      </c>
      <c r="G6677" s="92">
        <f>EXP($C$12+$C$8*_xlfn.NORM.S.INV(RAND()))</f>
        <v/>
      </c>
    </row>
    <row r="6678">
      <c r="F6678">
        <f>F6677+1</f>
        <v/>
      </c>
      <c r="G6678" s="92">
        <f>EXP($C$12+$C$8*_xlfn.NORM.S.INV(RAND()))</f>
        <v/>
      </c>
    </row>
    <row r="6679">
      <c r="F6679">
        <f>F6678+1</f>
        <v/>
      </c>
      <c r="G6679" s="92">
        <f>EXP($C$12+$C$8*_xlfn.NORM.S.INV(RAND()))</f>
        <v/>
      </c>
    </row>
    <row r="6680">
      <c r="F6680">
        <f>F6679+1</f>
        <v/>
      </c>
      <c r="G6680" s="92">
        <f>EXP($C$12+$C$8*_xlfn.NORM.S.INV(RAND()))</f>
        <v/>
      </c>
    </row>
    <row r="6681">
      <c r="F6681">
        <f>F6680+1</f>
        <v/>
      </c>
      <c r="G6681" s="92">
        <f>EXP($C$12+$C$8*_xlfn.NORM.S.INV(RAND()))</f>
        <v/>
      </c>
    </row>
    <row r="6682">
      <c r="F6682">
        <f>F6681+1</f>
        <v/>
      </c>
      <c r="G6682" s="92">
        <f>EXP($C$12+$C$8*_xlfn.NORM.S.INV(RAND()))</f>
        <v/>
      </c>
    </row>
    <row r="6683">
      <c r="F6683">
        <f>F6682+1</f>
        <v/>
      </c>
      <c r="G6683" s="92">
        <f>EXP($C$12+$C$8*_xlfn.NORM.S.INV(RAND()))</f>
        <v/>
      </c>
    </row>
    <row r="6684">
      <c r="F6684">
        <f>F6683+1</f>
        <v/>
      </c>
      <c r="G6684" s="92">
        <f>EXP($C$12+$C$8*_xlfn.NORM.S.INV(RAND()))</f>
        <v/>
      </c>
    </row>
    <row r="6685">
      <c r="F6685">
        <f>F6684+1</f>
        <v/>
      </c>
      <c r="G6685" s="92">
        <f>EXP($C$12+$C$8*_xlfn.NORM.S.INV(RAND()))</f>
        <v/>
      </c>
    </row>
    <row r="6686">
      <c r="F6686">
        <f>F6685+1</f>
        <v/>
      </c>
      <c r="G6686" s="92">
        <f>EXP($C$12+$C$8*_xlfn.NORM.S.INV(RAND()))</f>
        <v/>
      </c>
    </row>
    <row r="6687">
      <c r="F6687">
        <f>F6686+1</f>
        <v/>
      </c>
      <c r="G6687" s="92">
        <f>EXP($C$12+$C$8*_xlfn.NORM.S.INV(RAND()))</f>
        <v/>
      </c>
    </row>
    <row r="6688">
      <c r="F6688">
        <f>F6687+1</f>
        <v/>
      </c>
      <c r="G6688" s="92">
        <f>EXP($C$12+$C$8*_xlfn.NORM.S.INV(RAND()))</f>
        <v/>
      </c>
    </row>
    <row r="6689">
      <c r="F6689">
        <f>F6688+1</f>
        <v/>
      </c>
      <c r="G6689" s="92">
        <f>EXP($C$12+$C$8*_xlfn.NORM.S.INV(RAND()))</f>
        <v/>
      </c>
    </row>
    <row r="6690">
      <c r="F6690">
        <f>F6689+1</f>
        <v/>
      </c>
      <c r="G6690" s="92">
        <f>EXP($C$12+$C$8*_xlfn.NORM.S.INV(RAND()))</f>
        <v/>
      </c>
    </row>
    <row r="6691">
      <c r="F6691">
        <f>F6690+1</f>
        <v/>
      </c>
      <c r="G6691" s="92">
        <f>EXP($C$12+$C$8*_xlfn.NORM.S.INV(RAND()))</f>
        <v/>
      </c>
    </row>
    <row r="6692">
      <c r="F6692">
        <f>F6691+1</f>
        <v/>
      </c>
      <c r="G6692" s="92">
        <f>EXP($C$12+$C$8*_xlfn.NORM.S.INV(RAND()))</f>
        <v/>
      </c>
    </row>
    <row r="6693">
      <c r="F6693">
        <f>F6692+1</f>
        <v/>
      </c>
      <c r="G6693" s="92">
        <f>EXP($C$12+$C$8*_xlfn.NORM.S.INV(RAND()))</f>
        <v/>
      </c>
    </row>
    <row r="6694">
      <c r="F6694">
        <f>F6693+1</f>
        <v/>
      </c>
      <c r="G6694" s="92">
        <f>EXP($C$12+$C$8*_xlfn.NORM.S.INV(RAND()))</f>
        <v/>
      </c>
    </row>
    <row r="6695">
      <c r="F6695">
        <f>F6694+1</f>
        <v/>
      </c>
      <c r="G6695" s="92">
        <f>EXP($C$12+$C$8*_xlfn.NORM.S.INV(RAND()))</f>
        <v/>
      </c>
    </row>
    <row r="6696">
      <c r="F6696">
        <f>F6695+1</f>
        <v/>
      </c>
      <c r="G6696" s="92">
        <f>EXP($C$12+$C$8*_xlfn.NORM.S.INV(RAND()))</f>
        <v/>
      </c>
    </row>
    <row r="6697">
      <c r="F6697">
        <f>F6696+1</f>
        <v/>
      </c>
      <c r="G6697" s="92">
        <f>EXP($C$12+$C$8*_xlfn.NORM.S.INV(RAND()))</f>
        <v/>
      </c>
    </row>
    <row r="6698">
      <c r="F6698">
        <f>F6697+1</f>
        <v/>
      </c>
      <c r="G6698" s="92">
        <f>EXP($C$12+$C$8*_xlfn.NORM.S.INV(RAND()))</f>
        <v/>
      </c>
    </row>
    <row r="6699">
      <c r="F6699">
        <f>F6698+1</f>
        <v/>
      </c>
      <c r="G6699" s="92">
        <f>EXP($C$12+$C$8*_xlfn.NORM.S.INV(RAND()))</f>
        <v/>
      </c>
    </row>
    <row r="6700">
      <c r="F6700">
        <f>F6699+1</f>
        <v/>
      </c>
      <c r="G6700" s="92">
        <f>EXP($C$12+$C$8*_xlfn.NORM.S.INV(RAND()))</f>
        <v/>
      </c>
    </row>
    <row r="6701">
      <c r="F6701">
        <f>F6700+1</f>
        <v/>
      </c>
      <c r="G6701" s="92">
        <f>EXP($C$12+$C$8*_xlfn.NORM.S.INV(RAND()))</f>
        <v/>
      </c>
    </row>
    <row r="6702">
      <c r="F6702">
        <f>F6701+1</f>
        <v/>
      </c>
      <c r="G6702" s="92">
        <f>EXP($C$12+$C$8*_xlfn.NORM.S.INV(RAND()))</f>
        <v/>
      </c>
    </row>
    <row r="6703">
      <c r="F6703">
        <f>F6702+1</f>
        <v/>
      </c>
      <c r="G6703" s="92">
        <f>EXP($C$12+$C$8*_xlfn.NORM.S.INV(RAND()))</f>
        <v/>
      </c>
    </row>
    <row r="6704">
      <c r="F6704">
        <f>F6703+1</f>
        <v/>
      </c>
      <c r="G6704" s="92">
        <f>EXP($C$12+$C$8*_xlfn.NORM.S.INV(RAND()))</f>
        <v/>
      </c>
    </row>
    <row r="6705">
      <c r="F6705">
        <f>F6704+1</f>
        <v/>
      </c>
      <c r="G6705" s="92">
        <f>EXP($C$12+$C$8*_xlfn.NORM.S.INV(RAND()))</f>
        <v/>
      </c>
    </row>
    <row r="6706">
      <c r="F6706">
        <f>F6705+1</f>
        <v/>
      </c>
      <c r="G6706" s="92">
        <f>EXP($C$12+$C$8*_xlfn.NORM.S.INV(RAND()))</f>
        <v/>
      </c>
    </row>
    <row r="6707">
      <c r="F6707">
        <f>F6706+1</f>
        <v/>
      </c>
      <c r="G6707" s="92">
        <f>EXP($C$12+$C$8*_xlfn.NORM.S.INV(RAND()))</f>
        <v/>
      </c>
    </row>
    <row r="6708">
      <c r="F6708">
        <f>F6707+1</f>
        <v/>
      </c>
      <c r="G6708" s="92">
        <f>EXP($C$12+$C$8*_xlfn.NORM.S.INV(RAND()))</f>
        <v/>
      </c>
    </row>
    <row r="6709">
      <c r="F6709">
        <f>F6708+1</f>
        <v/>
      </c>
      <c r="G6709" s="92">
        <f>EXP($C$12+$C$8*_xlfn.NORM.S.INV(RAND()))</f>
        <v/>
      </c>
    </row>
    <row r="6710">
      <c r="F6710">
        <f>F6709+1</f>
        <v/>
      </c>
      <c r="G6710" s="92">
        <f>EXP($C$12+$C$8*_xlfn.NORM.S.INV(RAND()))</f>
        <v/>
      </c>
    </row>
    <row r="6711">
      <c r="F6711">
        <f>F6710+1</f>
        <v/>
      </c>
      <c r="G6711" s="92">
        <f>EXP($C$12+$C$8*_xlfn.NORM.S.INV(RAND()))</f>
        <v/>
      </c>
    </row>
    <row r="6712">
      <c r="F6712">
        <f>F6711+1</f>
        <v/>
      </c>
      <c r="G6712" s="92">
        <f>EXP($C$12+$C$8*_xlfn.NORM.S.INV(RAND()))</f>
        <v/>
      </c>
    </row>
    <row r="6713">
      <c r="F6713">
        <f>F6712+1</f>
        <v/>
      </c>
      <c r="G6713" s="92">
        <f>EXP($C$12+$C$8*_xlfn.NORM.S.INV(RAND()))</f>
        <v/>
      </c>
    </row>
    <row r="6714">
      <c r="F6714">
        <f>F6713+1</f>
        <v/>
      </c>
      <c r="G6714" s="92">
        <f>EXP($C$12+$C$8*_xlfn.NORM.S.INV(RAND()))</f>
        <v/>
      </c>
    </row>
    <row r="6715">
      <c r="F6715">
        <f>F6714+1</f>
        <v/>
      </c>
      <c r="G6715" s="92">
        <f>EXP($C$12+$C$8*_xlfn.NORM.S.INV(RAND()))</f>
        <v/>
      </c>
    </row>
    <row r="6716">
      <c r="F6716">
        <f>F6715+1</f>
        <v/>
      </c>
      <c r="G6716" s="92">
        <f>EXP($C$12+$C$8*_xlfn.NORM.S.INV(RAND()))</f>
        <v/>
      </c>
    </row>
    <row r="6717">
      <c r="F6717">
        <f>F6716+1</f>
        <v/>
      </c>
      <c r="G6717" s="92">
        <f>EXP($C$12+$C$8*_xlfn.NORM.S.INV(RAND()))</f>
        <v/>
      </c>
    </row>
    <row r="6718">
      <c r="F6718">
        <f>F6717+1</f>
        <v/>
      </c>
      <c r="G6718" s="92">
        <f>EXP($C$12+$C$8*_xlfn.NORM.S.INV(RAND()))</f>
        <v/>
      </c>
    </row>
    <row r="6719">
      <c r="F6719">
        <f>F6718+1</f>
        <v/>
      </c>
      <c r="G6719" s="92">
        <f>EXP($C$12+$C$8*_xlfn.NORM.S.INV(RAND()))</f>
        <v/>
      </c>
    </row>
    <row r="6720">
      <c r="F6720">
        <f>F6719+1</f>
        <v/>
      </c>
      <c r="G6720" s="92">
        <f>EXP($C$12+$C$8*_xlfn.NORM.S.INV(RAND()))</f>
        <v/>
      </c>
    </row>
    <row r="6721">
      <c r="F6721">
        <f>F6720+1</f>
        <v/>
      </c>
      <c r="G6721" s="92">
        <f>EXP($C$12+$C$8*_xlfn.NORM.S.INV(RAND()))</f>
        <v/>
      </c>
    </row>
    <row r="6722">
      <c r="F6722">
        <f>F6721+1</f>
        <v/>
      </c>
      <c r="G6722" s="92">
        <f>EXP($C$12+$C$8*_xlfn.NORM.S.INV(RAND()))</f>
        <v/>
      </c>
    </row>
    <row r="6723">
      <c r="F6723">
        <f>F6722+1</f>
        <v/>
      </c>
      <c r="G6723" s="92">
        <f>EXP($C$12+$C$8*_xlfn.NORM.S.INV(RAND()))</f>
        <v/>
      </c>
    </row>
    <row r="6724">
      <c r="F6724">
        <f>F6723+1</f>
        <v/>
      </c>
      <c r="G6724" s="92">
        <f>EXP($C$12+$C$8*_xlfn.NORM.S.INV(RAND()))</f>
        <v/>
      </c>
    </row>
    <row r="6725">
      <c r="F6725">
        <f>F6724+1</f>
        <v/>
      </c>
      <c r="G6725" s="92">
        <f>EXP($C$12+$C$8*_xlfn.NORM.S.INV(RAND()))</f>
        <v/>
      </c>
    </row>
    <row r="6726">
      <c r="F6726">
        <f>F6725+1</f>
        <v/>
      </c>
      <c r="G6726" s="92">
        <f>EXP($C$12+$C$8*_xlfn.NORM.S.INV(RAND()))</f>
        <v/>
      </c>
    </row>
    <row r="6727">
      <c r="F6727">
        <f>F6726+1</f>
        <v/>
      </c>
      <c r="G6727" s="92">
        <f>EXP($C$12+$C$8*_xlfn.NORM.S.INV(RAND()))</f>
        <v/>
      </c>
    </row>
    <row r="6728">
      <c r="F6728">
        <f>F6727+1</f>
        <v/>
      </c>
      <c r="G6728" s="92">
        <f>EXP($C$12+$C$8*_xlfn.NORM.S.INV(RAND()))</f>
        <v/>
      </c>
    </row>
    <row r="6729">
      <c r="F6729">
        <f>F6728+1</f>
        <v/>
      </c>
      <c r="G6729" s="92">
        <f>EXP($C$12+$C$8*_xlfn.NORM.S.INV(RAND()))</f>
        <v/>
      </c>
    </row>
    <row r="6730">
      <c r="F6730">
        <f>F6729+1</f>
        <v/>
      </c>
      <c r="G6730" s="92">
        <f>EXP($C$12+$C$8*_xlfn.NORM.S.INV(RAND()))</f>
        <v/>
      </c>
    </row>
    <row r="6731">
      <c r="F6731">
        <f>F6730+1</f>
        <v/>
      </c>
      <c r="G6731" s="92">
        <f>EXP($C$12+$C$8*_xlfn.NORM.S.INV(RAND()))</f>
        <v/>
      </c>
    </row>
    <row r="6732">
      <c r="F6732">
        <f>F6731+1</f>
        <v/>
      </c>
      <c r="G6732" s="92">
        <f>EXP($C$12+$C$8*_xlfn.NORM.S.INV(RAND()))</f>
        <v/>
      </c>
    </row>
    <row r="6733">
      <c r="F6733">
        <f>F6732+1</f>
        <v/>
      </c>
      <c r="G6733" s="92">
        <f>EXP($C$12+$C$8*_xlfn.NORM.S.INV(RAND()))</f>
        <v/>
      </c>
    </row>
    <row r="6734">
      <c r="F6734">
        <f>F6733+1</f>
        <v/>
      </c>
      <c r="G6734" s="92">
        <f>EXP($C$12+$C$8*_xlfn.NORM.S.INV(RAND()))</f>
        <v/>
      </c>
    </row>
    <row r="6735">
      <c r="F6735">
        <f>F6734+1</f>
        <v/>
      </c>
      <c r="G6735" s="92">
        <f>EXP($C$12+$C$8*_xlfn.NORM.S.INV(RAND()))</f>
        <v/>
      </c>
    </row>
    <row r="6736">
      <c r="F6736">
        <f>F6735+1</f>
        <v/>
      </c>
      <c r="G6736" s="92">
        <f>EXP($C$12+$C$8*_xlfn.NORM.S.INV(RAND()))</f>
        <v/>
      </c>
    </row>
    <row r="6737">
      <c r="F6737">
        <f>F6736+1</f>
        <v/>
      </c>
      <c r="G6737" s="92">
        <f>EXP($C$12+$C$8*_xlfn.NORM.S.INV(RAND()))</f>
        <v/>
      </c>
    </row>
    <row r="6738">
      <c r="F6738">
        <f>F6737+1</f>
        <v/>
      </c>
      <c r="G6738" s="92">
        <f>EXP($C$12+$C$8*_xlfn.NORM.S.INV(RAND()))</f>
        <v/>
      </c>
    </row>
    <row r="6739">
      <c r="F6739">
        <f>F6738+1</f>
        <v/>
      </c>
      <c r="G6739" s="92">
        <f>EXP($C$12+$C$8*_xlfn.NORM.S.INV(RAND()))</f>
        <v/>
      </c>
    </row>
    <row r="6740">
      <c r="F6740">
        <f>F6739+1</f>
        <v/>
      </c>
      <c r="G6740" s="92">
        <f>EXP($C$12+$C$8*_xlfn.NORM.S.INV(RAND()))</f>
        <v/>
      </c>
    </row>
    <row r="6741">
      <c r="F6741">
        <f>F6740+1</f>
        <v/>
      </c>
      <c r="G6741" s="92">
        <f>EXP($C$12+$C$8*_xlfn.NORM.S.INV(RAND()))</f>
        <v/>
      </c>
    </row>
    <row r="6742">
      <c r="F6742">
        <f>F6741+1</f>
        <v/>
      </c>
      <c r="G6742" s="92">
        <f>EXP($C$12+$C$8*_xlfn.NORM.S.INV(RAND()))</f>
        <v/>
      </c>
    </row>
    <row r="6743">
      <c r="F6743">
        <f>F6742+1</f>
        <v/>
      </c>
      <c r="G6743" s="92">
        <f>EXP($C$12+$C$8*_xlfn.NORM.S.INV(RAND()))</f>
        <v/>
      </c>
    </row>
    <row r="6744">
      <c r="F6744">
        <f>F6743+1</f>
        <v/>
      </c>
      <c r="G6744" s="92">
        <f>EXP($C$12+$C$8*_xlfn.NORM.S.INV(RAND()))</f>
        <v/>
      </c>
    </row>
    <row r="6745">
      <c r="F6745">
        <f>F6744+1</f>
        <v/>
      </c>
      <c r="G6745" s="92">
        <f>EXP($C$12+$C$8*_xlfn.NORM.S.INV(RAND()))</f>
        <v/>
      </c>
    </row>
    <row r="6746">
      <c r="F6746">
        <f>F6745+1</f>
        <v/>
      </c>
      <c r="G6746" s="92">
        <f>EXP($C$12+$C$8*_xlfn.NORM.S.INV(RAND()))</f>
        <v/>
      </c>
    </row>
    <row r="6747">
      <c r="F6747">
        <f>F6746+1</f>
        <v/>
      </c>
      <c r="G6747" s="92">
        <f>EXP($C$12+$C$8*_xlfn.NORM.S.INV(RAND()))</f>
        <v/>
      </c>
    </row>
    <row r="6748">
      <c r="F6748">
        <f>F6747+1</f>
        <v/>
      </c>
      <c r="G6748" s="92">
        <f>EXP($C$12+$C$8*_xlfn.NORM.S.INV(RAND()))</f>
        <v/>
      </c>
    </row>
    <row r="6749">
      <c r="F6749">
        <f>F6748+1</f>
        <v/>
      </c>
      <c r="G6749" s="92">
        <f>EXP($C$12+$C$8*_xlfn.NORM.S.INV(RAND()))</f>
        <v/>
      </c>
    </row>
    <row r="6750">
      <c r="F6750">
        <f>F6749+1</f>
        <v/>
      </c>
      <c r="G6750" s="92">
        <f>EXP($C$12+$C$8*_xlfn.NORM.S.INV(RAND()))</f>
        <v/>
      </c>
    </row>
    <row r="6751">
      <c r="F6751">
        <f>F6750+1</f>
        <v/>
      </c>
      <c r="G6751" s="92">
        <f>EXP($C$12+$C$8*_xlfn.NORM.S.INV(RAND()))</f>
        <v/>
      </c>
    </row>
    <row r="6752">
      <c r="F6752">
        <f>F6751+1</f>
        <v/>
      </c>
      <c r="G6752" s="92">
        <f>EXP($C$12+$C$8*_xlfn.NORM.S.INV(RAND()))</f>
        <v/>
      </c>
    </row>
    <row r="6753">
      <c r="F6753">
        <f>F6752+1</f>
        <v/>
      </c>
      <c r="G6753" s="92">
        <f>EXP($C$12+$C$8*_xlfn.NORM.S.INV(RAND()))</f>
        <v/>
      </c>
    </row>
    <row r="6754">
      <c r="F6754">
        <f>F6753+1</f>
        <v/>
      </c>
      <c r="G6754" s="92">
        <f>EXP($C$12+$C$8*_xlfn.NORM.S.INV(RAND()))</f>
        <v/>
      </c>
    </row>
    <row r="6755">
      <c r="F6755">
        <f>F6754+1</f>
        <v/>
      </c>
      <c r="G6755" s="92">
        <f>EXP($C$12+$C$8*_xlfn.NORM.S.INV(RAND()))</f>
        <v/>
      </c>
    </row>
    <row r="6756">
      <c r="F6756">
        <f>F6755+1</f>
        <v/>
      </c>
      <c r="G6756" s="92">
        <f>EXP($C$12+$C$8*_xlfn.NORM.S.INV(RAND()))</f>
        <v/>
      </c>
    </row>
    <row r="6757">
      <c r="F6757">
        <f>F6756+1</f>
        <v/>
      </c>
      <c r="G6757" s="92">
        <f>EXP($C$12+$C$8*_xlfn.NORM.S.INV(RAND()))</f>
        <v/>
      </c>
    </row>
    <row r="6758">
      <c r="F6758">
        <f>F6757+1</f>
        <v/>
      </c>
      <c r="G6758" s="92">
        <f>EXP($C$12+$C$8*_xlfn.NORM.S.INV(RAND()))</f>
        <v/>
      </c>
    </row>
    <row r="6759">
      <c r="F6759">
        <f>F6758+1</f>
        <v/>
      </c>
      <c r="G6759" s="92">
        <f>EXP($C$12+$C$8*_xlfn.NORM.S.INV(RAND()))</f>
        <v/>
      </c>
    </row>
    <row r="6760">
      <c r="F6760">
        <f>F6759+1</f>
        <v/>
      </c>
      <c r="G6760" s="92">
        <f>EXP($C$12+$C$8*_xlfn.NORM.S.INV(RAND()))</f>
        <v/>
      </c>
    </row>
    <row r="6761">
      <c r="F6761">
        <f>F6760+1</f>
        <v/>
      </c>
      <c r="G6761" s="92">
        <f>EXP($C$12+$C$8*_xlfn.NORM.S.INV(RAND()))</f>
        <v/>
      </c>
    </row>
    <row r="6762">
      <c r="F6762">
        <f>F6761+1</f>
        <v/>
      </c>
      <c r="G6762" s="92">
        <f>EXP($C$12+$C$8*_xlfn.NORM.S.INV(RAND()))</f>
        <v/>
      </c>
    </row>
    <row r="6763">
      <c r="F6763">
        <f>F6762+1</f>
        <v/>
      </c>
      <c r="G6763" s="92">
        <f>EXP($C$12+$C$8*_xlfn.NORM.S.INV(RAND()))</f>
        <v/>
      </c>
    </row>
    <row r="6764">
      <c r="F6764">
        <f>F6763+1</f>
        <v/>
      </c>
      <c r="G6764" s="92">
        <f>EXP($C$12+$C$8*_xlfn.NORM.S.INV(RAND()))</f>
        <v/>
      </c>
    </row>
    <row r="6765">
      <c r="F6765">
        <f>F6764+1</f>
        <v/>
      </c>
      <c r="G6765" s="92">
        <f>EXP($C$12+$C$8*_xlfn.NORM.S.INV(RAND()))</f>
        <v/>
      </c>
    </row>
    <row r="6766">
      <c r="F6766">
        <f>F6765+1</f>
        <v/>
      </c>
      <c r="G6766" s="92">
        <f>EXP($C$12+$C$8*_xlfn.NORM.S.INV(RAND()))</f>
        <v/>
      </c>
    </row>
    <row r="6767">
      <c r="F6767">
        <f>F6766+1</f>
        <v/>
      </c>
      <c r="G6767" s="92">
        <f>EXP($C$12+$C$8*_xlfn.NORM.S.INV(RAND()))</f>
        <v/>
      </c>
    </row>
    <row r="6768">
      <c r="F6768">
        <f>F6767+1</f>
        <v/>
      </c>
      <c r="G6768" s="92">
        <f>EXP($C$12+$C$8*_xlfn.NORM.S.INV(RAND()))</f>
        <v/>
      </c>
    </row>
    <row r="6769">
      <c r="F6769">
        <f>F6768+1</f>
        <v/>
      </c>
      <c r="G6769" s="92">
        <f>EXP($C$12+$C$8*_xlfn.NORM.S.INV(RAND()))</f>
        <v/>
      </c>
    </row>
    <row r="6770">
      <c r="F6770">
        <f>F6769+1</f>
        <v/>
      </c>
      <c r="G6770" s="92">
        <f>EXP($C$12+$C$8*_xlfn.NORM.S.INV(RAND()))</f>
        <v/>
      </c>
    </row>
    <row r="6771">
      <c r="F6771">
        <f>F6770+1</f>
        <v/>
      </c>
      <c r="G6771" s="92">
        <f>EXP($C$12+$C$8*_xlfn.NORM.S.INV(RAND()))</f>
        <v/>
      </c>
    </row>
    <row r="6772">
      <c r="F6772">
        <f>F6771+1</f>
        <v/>
      </c>
      <c r="G6772" s="92">
        <f>EXP($C$12+$C$8*_xlfn.NORM.S.INV(RAND()))</f>
        <v/>
      </c>
    </row>
    <row r="6773">
      <c r="F6773">
        <f>F6772+1</f>
        <v/>
      </c>
      <c r="G6773" s="92">
        <f>EXP($C$12+$C$8*_xlfn.NORM.S.INV(RAND()))</f>
        <v/>
      </c>
    </row>
    <row r="6774">
      <c r="F6774">
        <f>F6773+1</f>
        <v/>
      </c>
      <c r="G6774" s="92">
        <f>EXP($C$12+$C$8*_xlfn.NORM.S.INV(RAND()))</f>
        <v/>
      </c>
    </row>
    <row r="6775">
      <c r="F6775">
        <f>F6774+1</f>
        <v/>
      </c>
      <c r="G6775" s="92">
        <f>EXP($C$12+$C$8*_xlfn.NORM.S.INV(RAND()))</f>
        <v/>
      </c>
    </row>
    <row r="6776">
      <c r="F6776">
        <f>F6775+1</f>
        <v/>
      </c>
      <c r="G6776" s="92">
        <f>EXP($C$12+$C$8*_xlfn.NORM.S.INV(RAND()))</f>
        <v/>
      </c>
    </row>
    <row r="6777">
      <c r="F6777">
        <f>F6776+1</f>
        <v/>
      </c>
      <c r="G6777" s="92">
        <f>EXP($C$12+$C$8*_xlfn.NORM.S.INV(RAND()))</f>
        <v/>
      </c>
    </row>
    <row r="6778">
      <c r="F6778">
        <f>F6777+1</f>
        <v/>
      </c>
      <c r="G6778" s="92">
        <f>EXP($C$12+$C$8*_xlfn.NORM.S.INV(RAND()))</f>
        <v/>
      </c>
    </row>
    <row r="6779">
      <c r="F6779">
        <f>F6778+1</f>
        <v/>
      </c>
      <c r="G6779" s="92">
        <f>EXP($C$12+$C$8*_xlfn.NORM.S.INV(RAND()))</f>
        <v/>
      </c>
    </row>
    <row r="6780">
      <c r="F6780">
        <f>F6779+1</f>
        <v/>
      </c>
      <c r="G6780" s="92">
        <f>EXP($C$12+$C$8*_xlfn.NORM.S.INV(RAND()))</f>
        <v/>
      </c>
    </row>
    <row r="6781">
      <c r="F6781">
        <f>F6780+1</f>
        <v/>
      </c>
      <c r="G6781" s="92">
        <f>EXP($C$12+$C$8*_xlfn.NORM.S.INV(RAND()))</f>
        <v/>
      </c>
    </row>
    <row r="6782">
      <c r="F6782">
        <f>F6781+1</f>
        <v/>
      </c>
      <c r="G6782" s="92">
        <f>EXP($C$12+$C$8*_xlfn.NORM.S.INV(RAND()))</f>
        <v/>
      </c>
    </row>
    <row r="6783">
      <c r="F6783">
        <f>F6782+1</f>
        <v/>
      </c>
      <c r="G6783" s="92">
        <f>EXP($C$12+$C$8*_xlfn.NORM.S.INV(RAND()))</f>
        <v/>
      </c>
    </row>
    <row r="6784">
      <c r="F6784">
        <f>F6783+1</f>
        <v/>
      </c>
      <c r="G6784" s="92">
        <f>EXP($C$12+$C$8*_xlfn.NORM.S.INV(RAND()))</f>
        <v/>
      </c>
    </row>
    <row r="6785">
      <c r="F6785">
        <f>F6784+1</f>
        <v/>
      </c>
      <c r="G6785" s="92">
        <f>EXP($C$12+$C$8*_xlfn.NORM.S.INV(RAND()))</f>
        <v/>
      </c>
    </row>
    <row r="6786">
      <c r="F6786">
        <f>F6785+1</f>
        <v/>
      </c>
      <c r="G6786" s="92">
        <f>EXP($C$12+$C$8*_xlfn.NORM.S.INV(RAND()))</f>
        <v/>
      </c>
    </row>
    <row r="6787">
      <c r="F6787">
        <f>F6786+1</f>
        <v/>
      </c>
      <c r="G6787" s="92">
        <f>EXP($C$12+$C$8*_xlfn.NORM.S.INV(RAND()))</f>
        <v/>
      </c>
    </row>
    <row r="6788">
      <c r="F6788">
        <f>F6787+1</f>
        <v/>
      </c>
      <c r="G6788" s="92">
        <f>EXP($C$12+$C$8*_xlfn.NORM.S.INV(RAND()))</f>
        <v/>
      </c>
    </row>
    <row r="6789">
      <c r="F6789">
        <f>F6788+1</f>
        <v/>
      </c>
      <c r="G6789" s="92">
        <f>EXP($C$12+$C$8*_xlfn.NORM.S.INV(RAND()))</f>
        <v/>
      </c>
    </row>
    <row r="6790">
      <c r="F6790">
        <f>F6789+1</f>
        <v/>
      </c>
      <c r="G6790" s="92">
        <f>EXP($C$12+$C$8*_xlfn.NORM.S.INV(RAND()))</f>
        <v/>
      </c>
    </row>
    <row r="6791">
      <c r="F6791">
        <f>F6790+1</f>
        <v/>
      </c>
      <c r="G6791" s="92">
        <f>EXP($C$12+$C$8*_xlfn.NORM.S.INV(RAND()))</f>
        <v/>
      </c>
    </row>
    <row r="6792">
      <c r="F6792">
        <f>F6791+1</f>
        <v/>
      </c>
      <c r="G6792" s="92">
        <f>EXP($C$12+$C$8*_xlfn.NORM.S.INV(RAND()))</f>
        <v/>
      </c>
    </row>
    <row r="6793">
      <c r="F6793">
        <f>F6792+1</f>
        <v/>
      </c>
      <c r="G6793" s="92">
        <f>EXP($C$12+$C$8*_xlfn.NORM.S.INV(RAND()))</f>
        <v/>
      </c>
    </row>
    <row r="6794">
      <c r="F6794">
        <f>F6793+1</f>
        <v/>
      </c>
      <c r="G6794" s="92">
        <f>EXP($C$12+$C$8*_xlfn.NORM.S.INV(RAND()))</f>
        <v/>
      </c>
    </row>
    <row r="6795">
      <c r="F6795">
        <f>F6794+1</f>
        <v/>
      </c>
      <c r="G6795" s="92">
        <f>EXP($C$12+$C$8*_xlfn.NORM.S.INV(RAND()))</f>
        <v/>
      </c>
    </row>
    <row r="6796">
      <c r="F6796">
        <f>F6795+1</f>
        <v/>
      </c>
      <c r="G6796" s="92">
        <f>EXP($C$12+$C$8*_xlfn.NORM.S.INV(RAND()))</f>
        <v/>
      </c>
    </row>
    <row r="6797">
      <c r="F6797">
        <f>F6796+1</f>
        <v/>
      </c>
      <c r="G6797" s="92">
        <f>EXP($C$12+$C$8*_xlfn.NORM.S.INV(RAND()))</f>
        <v/>
      </c>
    </row>
    <row r="6798">
      <c r="F6798">
        <f>F6797+1</f>
        <v/>
      </c>
      <c r="G6798" s="92">
        <f>EXP($C$12+$C$8*_xlfn.NORM.S.INV(RAND()))</f>
        <v/>
      </c>
    </row>
    <row r="6799">
      <c r="F6799">
        <f>F6798+1</f>
        <v/>
      </c>
      <c r="G6799" s="92">
        <f>EXP($C$12+$C$8*_xlfn.NORM.S.INV(RAND()))</f>
        <v/>
      </c>
    </row>
    <row r="6800">
      <c r="F6800">
        <f>F6799+1</f>
        <v/>
      </c>
      <c r="G6800" s="92">
        <f>EXP($C$12+$C$8*_xlfn.NORM.S.INV(RAND()))</f>
        <v/>
      </c>
    </row>
    <row r="6801">
      <c r="F6801">
        <f>F6800+1</f>
        <v/>
      </c>
      <c r="G6801" s="92">
        <f>EXP($C$12+$C$8*_xlfn.NORM.S.INV(RAND()))</f>
        <v/>
      </c>
    </row>
    <row r="6802">
      <c r="F6802">
        <f>F6801+1</f>
        <v/>
      </c>
      <c r="G6802" s="92">
        <f>EXP($C$12+$C$8*_xlfn.NORM.S.INV(RAND()))</f>
        <v/>
      </c>
    </row>
    <row r="6803">
      <c r="F6803">
        <f>F6802+1</f>
        <v/>
      </c>
      <c r="G6803" s="92">
        <f>EXP($C$12+$C$8*_xlfn.NORM.S.INV(RAND()))</f>
        <v/>
      </c>
    </row>
    <row r="6804">
      <c r="F6804">
        <f>F6803+1</f>
        <v/>
      </c>
      <c r="G6804" s="92">
        <f>EXP($C$12+$C$8*_xlfn.NORM.S.INV(RAND()))</f>
        <v/>
      </c>
    </row>
    <row r="6805">
      <c r="F6805">
        <f>F6804+1</f>
        <v/>
      </c>
      <c r="G6805" s="92">
        <f>EXP($C$12+$C$8*_xlfn.NORM.S.INV(RAND()))</f>
        <v/>
      </c>
    </row>
    <row r="6806">
      <c r="F6806">
        <f>F6805+1</f>
        <v/>
      </c>
      <c r="G6806" s="92">
        <f>EXP($C$12+$C$8*_xlfn.NORM.S.INV(RAND()))</f>
        <v/>
      </c>
    </row>
    <row r="6807">
      <c r="F6807">
        <f>F6806+1</f>
        <v/>
      </c>
      <c r="G6807" s="92">
        <f>EXP($C$12+$C$8*_xlfn.NORM.S.INV(RAND()))</f>
        <v/>
      </c>
    </row>
    <row r="6808">
      <c r="F6808">
        <f>F6807+1</f>
        <v/>
      </c>
      <c r="G6808" s="92">
        <f>EXP($C$12+$C$8*_xlfn.NORM.S.INV(RAND()))</f>
        <v/>
      </c>
    </row>
    <row r="6809">
      <c r="F6809">
        <f>F6808+1</f>
        <v/>
      </c>
      <c r="G6809" s="92">
        <f>EXP($C$12+$C$8*_xlfn.NORM.S.INV(RAND()))</f>
        <v/>
      </c>
    </row>
    <row r="6810">
      <c r="F6810">
        <f>F6809+1</f>
        <v/>
      </c>
      <c r="G6810" s="92">
        <f>EXP($C$12+$C$8*_xlfn.NORM.S.INV(RAND()))</f>
        <v/>
      </c>
    </row>
    <row r="6811">
      <c r="F6811">
        <f>F6810+1</f>
        <v/>
      </c>
      <c r="G6811" s="92">
        <f>EXP($C$12+$C$8*_xlfn.NORM.S.INV(RAND()))</f>
        <v/>
      </c>
    </row>
    <row r="6812">
      <c r="F6812">
        <f>F6811+1</f>
        <v/>
      </c>
      <c r="G6812" s="92">
        <f>EXP($C$12+$C$8*_xlfn.NORM.S.INV(RAND()))</f>
        <v/>
      </c>
    </row>
    <row r="6813">
      <c r="F6813">
        <f>F6812+1</f>
        <v/>
      </c>
      <c r="G6813" s="92">
        <f>EXP($C$12+$C$8*_xlfn.NORM.S.INV(RAND()))</f>
        <v/>
      </c>
    </row>
    <row r="6814">
      <c r="F6814">
        <f>F6813+1</f>
        <v/>
      </c>
      <c r="G6814" s="92">
        <f>EXP($C$12+$C$8*_xlfn.NORM.S.INV(RAND()))</f>
        <v/>
      </c>
    </row>
    <row r="6815">
      <c r="F6815">
        <f>F6814+1</f>
        <v/>
      </c>
      <c r="G6815" s="92">
        <f>EXP($C$12+$C$8*_xlfn.NORM.S.INV(RAND()))</f>
        <v/>
      </c>
    </row>
    <row r="6816">
      <c r="F6816">
        <f>F6815+1</f>
        <v/>
      </c>
      <c r="G6816" s="92">
        <f>EXP($C$12+$C$8*_xlfn.NORM.S.INV(RAND()))</f>
        <v/>
      </c>
    </row>
    <row r="6817">
      <c r="F6817">
        <f>F6816+1</f>
        <v/>
      </c>
      <c r="G6817" s="92">
        <f>EXP($C$12+$C$8*_xlfn.NORM.S.INV(RAND()))</f>
        <v/>
      </c>
    </row>
    <row r="6818">
      <c r="F6818">
        <f>F6817+1</f>
        <v/>
      </c>
      <c r="G6818" s="92">
        <f>EXP($C$12+$C$8*_xlfn.NORM.S.INV(RAND()))</f>
        <v/>
      </c>
    </row>
    <row r="6819">
      <c r="F6819">
        <f>F6818+1</f>
        <v/>
      </c>
      <c r="G6819" s="92">
        <f>EXP($C$12+$C$8*_xlfn.NORM.S.INV(RAND()))</f>
        <v/>
      </c>
    </row>
    <row r="6820">
      <c r="F6820">
        <f>F6819+1</f>
        <v/>
      </c>
      <c r="G6820" s="92">
        <f>EXP($C$12+$C$8*_xlfn.NORM.S.INV(RAND()))</f>
        <v/>
      </c>
    </row>
    <row r="6821">
      <c r="F6821">
        <f>F6820+1</f>
        <v/>
      </c>
      <c r="G6821" s="92">
        <f>EXP($C$12+$C$8*_xlfn.NORM.S.INV(RAND()))</f>
        <v/>
      </c>
    </row>
    <row r="6822">
      <c r="F6822">
        <f>F6821+1</f>
        <v/>
      </c>
      <c r="G6822" s="92">
        <f>EXP($C$12+$C$8*_xlfn.NORM.S.INV(RAND()))</f>
        <v/>
      </c>
    </row>
    <row r="6823">
      <c r="F6823">
        <f>F6822+1</f>
        <v/>
      </c>
      <c r="G6823" s="92">
        <f>EXP($C$12+$C$8*_xlfn.NORM.S.INV(RAND()))</f>
        <v/>
      </c>
    </row>
    <row r="6824">
      <c r="F6824">
        <f>F6823+1</f>
        <v/>
      </c>
      <c r="G6824" s="92">
        <f>EXP($C$12+$C$8*_xlfn.NORM.S.INV(RAND()))</f>
        <v/>
      </c>
    </row>
    <row r="6825">
      <c r="F6825">
        <f>F6824+1</f>
        <v/>
      </c>
      <c r="G6825" s="92">
        <f>EXP($C$12+$C$8*_xlfn.NORM.S.INV(RAND()))</f>
        <v/>
      </c>
    </row>
    <row r="6826">
      <c r="F6826">
        <f>F6825+1</f>
        <v/>
      </c>
      <c r="G6826" s="92">
        <f>EXP($C$12+$C$8*_xlfn.NORM.S.INV(RAND()))</f>
        <v/>
      </c>
    </row>
    <row r="6827">
      <c r="F6827">
        <f>F6826+1</f>
        <v/>
      </c>
      <c r="G6827" s="92">
        <f>EXP($C$12+$C$8*_xlfn.NORM.S.INV(RAND()))</f>
        <v/>
      </c>
    </row>
    <row r="6828">
      <c r="F6828">
        <f>F6827+1</f>
        <v/>
      </c>
      <c r="G6828" s="92">
        <f>EXP($C$12+$C$8*_xlfn.NORM.S.INV(RAND()))</f>
        <v/>
      </c>
    </row>
    <row r="6829">
      <c r="F6829">
        <f>F6828+1</f>
        <v/>
      </c>
      <c r="G6829" s="92">
        <f>EXP($C$12+$C$8*_xlfn.NORM.S.INV(RAND()))</f>
        <v/>
      </c>
    </row>
    <row r="6830">
      <c r="F6830">
        <f>F6829+1</f>
        <v/>
      </c>
      <c r="G6830" s="92">
        <f>EXP($C$12+$C$8*_xlfn.NORM.S.INV(RAND()))</f>
        <v/>
      </c>
    </row>
    <row r="6831">
      <c r="F6831">
        <f>F6830+1</f>
        <v/>
      </c>
      <c r="G6831" s="92">
        <f>EXP($C$12+$C$8*_xlfn.NORM.S.INV(RAND()))</f>
        <v/>
      </c>
    </row>
    <row r="6832">
      <c r="F6832">
        <f>F6831+1</f>
        <v/>
      </c>
      <c r="G6832" s="92">
        <f>EXP($C$12+$C$8*_xlfn.NORM.S.INV(RAND()))</f>
        <v/>
      </c>
    </row>
    <row r="6833">
      <c r="F6833">
        <f>F6832+1</f>
        <v/>
      </c>
      <c r="G6833" s="92">
        <f>EXP($C$12+$C$8*_xlfn.NORM.S.INV(RAND()))</f>
        <v/>
      </c>
    </row>
    <row r="6834">
      <c r="F6834">
        <f>F6833+1</f>
        <v/>
      </c>
      <c r="G6834" s="92">
        <f>EXP($C$12+$C$8*_xlfn.NORM.S.INV(RAND()))</f>
        <v/>
      </c>
    </row>
    <row r="6835">
      <c r="F6835">
        <f>F6834+1</f>
        <v/>
      </c>
      <c r="G6835" s="92">
        <f>EXP($C$12+$C$8*_xlfn.NORM.S.INV(RAND()))</f>
        <v/>
      </c>
    </row>
    <row r="6836">
      <c r="F6836">
        <f>F6835+1</f>
        <v/>
      </c>
      <c r="G6836" s="92">
        <f>EXP($C$12+$C$8*_xlfn.NORM.S.INV(RAND()))</f>
        <v/>
      </c>
    </row>
    <row r="6837">
      <c r="F6837">
        <f>F6836+1</f>
        <v/>
      </c>
      <c r="G6837" s="92">
        <f>EXP($C$12+$C$8*_xlfn.NORM.S.INV(RAND()))</f>
        <v/>
      </c>
    </row>
    <row r="6838">
      <c r="F6838">
        <f>F6837+1</f>
        <v/>
      </c>
      <c r="G6838" s="92">
        <f>EXP($C$12+$C$8*_xlfn.NORM.S.INV(RAND()))</f>
        <v/>
      </c>
    </row>
    <row r="6839">
      <c r="F6839">
        <f>F6838+1</f>
        <v/>
      </c>
      <c r="G6839" s="92">
        <f>EXP($C$12+$C$8*_xlfn.NORM.S.INV(RAND()))</f>
        <v/>
      </c>
    </row>
    <row r="6840">
      <c r="F6840">
        <f>F6839+1</f>
        <v/>
      </c>
      <c r="G6840" s="92">
        <f>EXP($C$12+$C$8*_xlfn.NORM.S.INV(RAND()))</f>
        <v/>
      </c>
    </row>
    <row r="6841">
      <c r="F6841">
        <f>F6840+1</f>
        <v/>
      </c>
      <c r="G6841" s="92">
        <f>EXP($C$12+$C$8*_xlfn.NORM.S.INV(RAND()))</f>
        <v/>
      </c>
    </row>
    <row r="6842">
      <c r="F6842">
        <f>F6841+1</f>
        <v/>
      </c>
      <c r="G6842" s="92">
        <f>EXP($C$12+$C$8*_xlfn.NORM.S.INV(RAND()))</f>
        <v/>
      </c>
    </row>
    <row r="6843">
      <c r="F6843">
        <f>F6842+1</f>
        <v/>
      </c>
      <c r="G6843" s="92">
        <f>EXP($C$12+$C$8*_xlfn.NORM.S.INV(RAND()))</f>
        <v/>
      </c>
    </row>
    <row r="6844">
      <c r="F6844">
        <f>F6843+1</f>
        <v/>
      </c>
      <c r="G6844" s="92">
        <f>EXP($C$12+$C$8*_xlfn.NORM.S.INV(RAND()))</f>
        <v/>
      </c>
    </row>
    <row r="6845">
      <c r="F6845">
        <f>F6844+1</f>
        <v/>
      </c>
      <c r="G6845" s="92">
        <f>EXP($C$12+$C$8*_xlfn.NORM.S.INV(RAND()))</f>
        <v/>
      </c>
    </row>
    <row r="6846">
      <c r="F6846">
        <f>F6845+1</f>
        <v/>
      </c>
      <c r="G6846" s="92">
        <f>EXP($C$12+$C$8*_xlfn.NORM.S.INV(RAND()))</f>
        <v/>
      </c>
    </row>
    <row r="6847">
      <c r="F6847">
        <f>F6846+1</f>
        <v/>
      </c>
      <c r="G6847" s="92">
        <f>EXP($C$12+$C$8*_xlfn.NORM.S.INV(RAND()))</f>
        <v/>
      </c>
    </row>
    <row r="6848">
      <c r="F6848">
        <f>F6847+1</f>
        <v/>
      </c>
      <c r="G6848" s="92">
        <f>EXP($C$12+$C$8*_xlfn.NORM.S.INV(RAND()))</f>
        <v/>
      </c>
    </row>
    <row r="6849">
      <c r="F6849">
        <f>F6848+1</f>
        <v/>
      </c>
      <c r="G6849" s="92">
        <f>EXP($C$12+$C$8*_xlfn.NORM.S.INV(RAND()))</f>
        <v/>
      </c>
    </row>
    <row r="6850">
      <c r="F6850">
        <f>F6849+1</f>
        <v/>
      </c>
      <c r="G6850" s="92">
        <f>EXP($C$12+$C$8*_xlfn.NORM.S.INV(RAND()))</f>
        <v/>
      </c>
    </row>
    <row r="6851">
      <c r="F6851">
        <f>F6850+1</f>
        <v/>
      </c>
      <c r="G6851" s="92">
        <f>EXP($C$12+$C$8*_xlfn.NORM.S.INV(RAND()))</f>
        <v/>
      </c>
    </row>
    <row r="6852">
      <c r="F6852">
        <f>F6851+1</f>
        <v/>
      </c>
      <c r="G6852" s="92">
        <f>EXP($C$12+$C$8*_xlfn.NORM.S.INV(RAND()))</f>
        <v/>
      </c>
    </row>
    <row r="6853">
      <c r="F6853">
        <f>F6852+1</f>
        <v/>
      </c>
      <c r="G6853" s="92">
        <f>EXP($C$12+$C$8*_xlfn.NORM.S.INV(RAND()))</f>
        <v/>
      </c>
    </row>
    <row r="6854">
      <c r="F6854">
        <f>F6853+1</f>
        <v/>
      </c>
      <c r="G6854" s="92">
        <f>EXP($C$12+$C$8*_xlfn.NORM.S.INV(RAND()))</f>
        <v/>
      </c>
    </row>
    <row r="6855">
      <c r="F6855">
        <f>F6854+1</f>
        <v/>
      </c>
      <c r="G6855" s="92">
        <f>EXP($C$12+$C$8*_xlfn.NORM.S.INV(RAND()))</f>
        <v/>
      </c>
    </row>
    <row r="6856">
      <c r="F6856">
        <f>F6855+1</f>
        <v/>
      </c>
      <c r="G6856" s="92">
        <f>EXP($C$12+$C$8*_xlfn.NORM.S.INV(RAND()))</f>
        <v/>
      </c>
    </row>
    <row r="6857">
      <c r="F6857">
        <f>F6856+1</f>
        <v/>
      </c>
      <c r="G6857" s="92">
        <f>EXP($C$12+$C$8*_xlfn.NORM.S.INV(RAND()))</f>
        <v/>
      </c>
    </row>
    <row r="6858">
      <c r="F6858">
        <f>F6857+1</f>
        <v/>
      </c>
      <c r="G6858" s="92">
        <f>EXP($C$12+$C$8*_xlfn.NORM.S.INV(RAND()))</f>
        <v/>
      </c>
    </row>
    <row r="6859">
      <c r="F6859">
        <f>F6858+1</f>
        <v/>
      </c>
      <c r="G6859" s="92">
        <f>EXP($C$12+$C$8*_xlfn.NORM.S.INV(RAND()))</f>
        <v/>
      </c>
    </row>
    <row r="6860">
      <c r="F6860">
        <f>F6859+1</f>
        <v/>
      </c>
      <c r="G6860" s="92">
        <f>EXP($C$12+$C$8*_xlfn.NORM.S.INV(RAND()))</f>
        <v/>
      </c>
    </row>
    <row r="6861">
      <c r="F6861">
        <f>F6860+1</f>
        <v/>
      </c>
      <c r="G6861" s="92">
        <f>EXP($C$12+$C$8*_xlfn.NORM.S.INV(RAND()))</f>
        <v/>
      </c>
    </row>
    <row r="6862">
      <c r="F6862">
        <f>F6861+1</f>
        <v/>
      </c>
      <c r="G6862" s="92">
        <f>EXP($C$12+$C$8*_xlfn.NORM.S.INV(RAND()))</f>
        <v/>
      </c>
    </row>
    <row r="6863">
      <c r="F6863">
        <f>F6862+1</f>
        <v/>
      </c>
      <c r="G6863" s="92">
        <f>EXP($C$12+$C$8*_xlfn.NORM.S.INV(RAND()))</f>
        <v/>
      </c>
    </row>
    <row r="6864">
      <c r="F6864">
        <f>F6863+1</f>
        <v/>
      </c>
      <c r="G6864" s="92">
        <f>EXP($C$12+$C$8*_xlfn.NORM.S.INV(RAND()))</f>
        <v/>
      </c>
    </row>
    <row r="6865">
      <c r="F6865">
        <f>F6864+1</f>
        <v/>
      </c>
      <c r="G6865" s="92">
        <f>EXP($C$12+$C$8*_xlfn.NORM.S.INV(RAND()))</f>
        <v/>
      </c>
    </row>
    <row r="6866">
      <c r="F6866">
        <f>F6865+1</f>
        <v/>
      </c>
      <c r="G6866" s="92">
        <f>EXP($C$12+$C$8*_xlfn.NORM.S.INV(RAND()))</f>
        <v/>
      </c>
    </row>
    <row r="6867">
      <c r="F6867">
        <f>F6866+1</f>
        <v/>
      </c>
      <c r="G6867" s="92">
        <f>EXP($C$12+$C$8*_xlfn.NORM.S.INV(RAND()))</f>
        <v/>
      </c>
    </row>
    <row r="6868">
      <c r="F6868">
        <f>F6867+1</f>
        <v/>
      </c>
      <c r="G6868" s="92">
        <f>EXP($C$12+$C$8*_xlfn.NORM.S.INV(RAND()))</f>
        <v/>
      </c>
    </row>
    <row r="6869">
      <c r="F6869">
        <f>F6868+1</f>
        <v/>
      </c>
      <c r="G6869" s="92">
        <f>EXP($C$12+$C$8*_xlfn.NORM.S.INV(RAND()))</f>
        <v/>
      </c>
    </row>
    <row r="6870">
      <c r="F6870">
        <f>F6869+1</f>
        <v/>
      </c>
      <c r="G6870" s="92">
        <f>EXP($C$12+$C$8*_xlfn.NORM.S.INV(RAND()))</f>
        <v/>
      </c>
    </row>
    <row r="6871">
      <c r="F6871">
        <f>F6870+1</f>
        <v/>
      </c>
      <c r="G6871" s="92">
        <f>EXP($C$12+$C$8*_xlfn.NORM.S.INV(RAND()))</f>
        <v/>
      </c>
    </row>
    <row r="6872">
      <c r="F6872">
        <f>F6871+1</f>
        <v/>
      </c>
      <c r="G6872" s="92">
        <f>EXP($C$12+$C$8*_xlfn.NORM.S.INV(RAND()))</f>
        <v/>
      </c>
    </row>
    <row r="6873">
      <c r="F6873">
        <f>F6872+1</f>
        <v/>
      </c>
      <c r="G6873" s="92">
        <f>EXP($C$12+$C$8*_xlfn.NORM.S.INV(RAND()))</f>
        <v/>
      </c>
    </row>
    <row r="6874">
      <c r="F6874">
        <f>F6873+1</f>
        <v/>
      </c>
      <c r="G6874" s="92">
        <f>EXP($C$12+$C$8*_xlfn.NORM.S.INV(RAND()))</f>
        <v/>
      </c>
    </row>
    <row r="6875">
      <c r="F6875">
        <f>F6874+1</f>
        <v/>
      </c>
      <c r="G6875" s="92">
        <f>EXP($C$12+$C$8*_xlfn.NORM.S.INV(RAND()))</f>
        <v/>
      </c>
    </row>
    <row r="6876">
      <c r="F6876">
        <f>F6875+1</f>
        <v/>
      </c>
      <c r="G6876" s="92">
        <f>EXP($C$12+$C$8*_xlfn.NORM.S.INV(RAND()))</f>
        <v/>
      </c>
    </row>
    <row r="6877">
      <c r="F6877">
        <f>F6876+1</f>
        <v/>
      </c>
      <c r="G6877" s="92">
        <f>EXP($C$12+$C$8*_xlfn.NORM.S.INV(RAND()))</f>
        <v/>
      </c>
    </row>
    <row r="6878">
      <c r="F6878">
        <f>F6877+1</f>
        <v/>
      </c>
      <c r="G6878" s="92">
        <f>EXP($C$12+$C$8*_xlfn.NORM.S.INV(RAND()))</f>
        <v/>
      </c>
    </row>
    <row r="6879">
      <c r="F6879">
        <f>F6878+1</f>
        <v/>
      </c>
      <c r="G6879" s="92">
        <f>EXP($C$12+$C$8*_xlfn.NORM.S.INV(RAND()))</f>
        <v/>
      </c>
    </row>
    <row r="6880">
      <c r="F6880">
        <f>F6879+1</f>
        <v/>
      </c>
      <c r="G6880" s="92">
        <f>EXP($C$12+$C$8*_xlfn.NORM.S.INV(RAND()))</f>
        <v/>
      </c>
    </row>
    <row r="6881">
      <c r="F6881">
        <f>F6880+1</f>
        <v/>
      </c>
      <c r="G6881" s="92">
        <f>EXP($C$12+$C$8*_xlfn.NORM.S.INV(RAND()))</f>
        <v/>
      </c>
    </row>
    <row r="6882">
      <c r="F6882">
        <f>F6881+1</f>
        <v/>
      </c>
      <c r="G6882" s="92">
        <f>EXP($C$12+$C$8*_xlfn.NORM.S.INV(RAND()))</f>
        <v/>
      </c>
    </row>
    <row r="6883">
      <c r="F6883">
        <f>F6882+1</f>
        <v/>
      </c>
      <c r="G6883" s="92">
        <f>EXP($C$12+$C$8*_xlfn.NORM.S.INV(RAND()))</f>
        <v/>
      </c>
    </row>
    <row r="6884">
      <c r="F6884">
        <f>F6883+1</f>
        <v/>
      </c>
      <c r="G6884" s="92">
        <f>EXP($C$12+$C$8*_xlfn.NORM.S.INV(RAND()))</f>
        <v/>
      </c>
    </row>
    <row r="6885">
      <c r="F6885">
        <f>F6884+1</f>
        <v/>
      </c>
      <c r="G6885" s="92">
        <f>EXP($C$12+$C$8*_xlfn.NORM.S.INV(RAND()))</f>
        <v/>
      </c>
    </row>
    <row r="6886">
      <c r="F6886">
        <f>F6885+1</f>
        <v/>
      </c>
      <c r="G6886" s="92">
        <f>EXP($C$12+$C$8*_xlfn.NORM.S.INV(RAND()))</f>
        <v/>
      </c>
    </row>
    <row r="6887">
      <c r="F6887">
        <f>F6886+1</f>
        <v/>
      </c>
      <c r="G6887" s="92">
        <f>EXP($C$12+$C$8*_xlfn.NORM.S.INV(RAND()))</f>
        <v/>
      </c>
    </row>
    <row r="6888">
      <c r="F6888">
        <f>F6887+1</f>
        <v/>
      </c>
      <c r="G6888" s="92">
        <f>EXP($C$12+$C$8*_xlfn.NORM.S.INV(RAND()))</f>
        <v/>
      </c>
    </row>
    <row r="6889">
      <c r="F6889">
        <f>F6888+1</f>
        <v/>
      </c>
      <c r="G6889" s="92">
        <f>EXP($C$12+$C$8*_xlfn.NORM.S.INV(RAND()))</f>
        <v/>
      </c>
    </row>
    <row r="6890">
      <c r="F6890">
        <f>F6889+1</f>
        <v/>
      </c>
      <c r="G6890" s="92">
        <f>EXP($C$12+$C$8*_xlfn.NORM.S.INV(RAND()))</f>
        <v/>
      </c>
    </row>
    <row r="6891">
      <c r="F6891">
        <f>F6890+1</f>
        <v/>
      </c>
      <c r="G6891" s="92">
        <f>EXP($C$12+$C$8*_xlfn.NORM.S.INV(RAND()))</f>
        <v/>
      </c>
    </row>
    <row r="6892">
      <c r="F6892">
        <f>F6891+1</f>
        <v/>
      </c>
      <c r="G6892" s="92">
        <f>EXP($C$12+$C$8*_xlfn.NORM.S.INV(RAND()))</f>
        <v/>
      </c>
    </row>
    <row r="6893">
      <c r="F6893">
        <f>F6892+1</f>
        <v/>
      </c>
      <c r="G6893" s="92">
        <f>EXP($C$12+$C$8*_xlfn.NORM.S.INV(RAND()))</f>
        <v/>
      </c>
    </row>
    <row r="6894">
      <c r="F6894">
        <f>F6893+1</f>
        <v/>
      </c>
      <c r="G6894" s="92">
        <f>EXP($C$12+$C$8*_xlfn.NORM.S.INV(RAND()))</f>
        <v/>
      </c>
    </row>
    <row r="6895">
      <c r="F6895">
        <f>F6894+1</f>
        <v/>
      </c>
      <c r="G6895" s="92">
        <f>EXP($C$12+$C$8*_xlfn.NORM.S.INV(RAND()))</f>
        <v/>
      </c>
    </row>
    <row r="6896">
      <c r="F6896">
        <f>F6895+1</f>
        <v/>
      </c>
      <c r="G6896" s="92">
        <f>EXP($C$12+$C$8*_xlfn.NORM.S.INV(RAND()))</f>
        <v/>
      </c>
    </row>
    <row r="6897">
      <c r="F6897">
        <f>F6896+1</f>
        <v/>
      </c>
      <c r="G6897" s="92">
        <f>EXP($C$12+$C$8*_xlfn.NORM.S.INV(RAND()))</f>
        <v/>
      </c>
    </row>
    <row r="6898">
      <c r="F6898">
        <f>F6897+1</f>
        <v/>
      </c>
      <c r="G6898" s="92">
        <f>EXP($C$12+$C$8*_xlfn.NORM.S.INV(RAND()))</f>
        <v/>
      </c>
    </row>
    <row r="6899">
      <c r="F6899">
        <f>F6898+1</f>
        <v/>
      </c>
      <c r="G6899" s="92">
        <f>EXP($C$12+$C$8*_xlfn.NORM.S.INV(RAND()))</f>
        <v/>
      </c>
    </row>
    <row r="6900">
      <c r="F6900">
        <f>F6899+1</f>
        <v/>
      </c>
      <c r="G6900" s="92">
        <f>EXP($C$12+$C$8*_xlfn.NORM.S.INV(RAND()))</f>
        <v/>
      </c>
    </row>
    <row r="6901">
      <c r="F6901">
        <f>F6900+1</f>
        <v/>
      </c>
      <c r="G6901" s="92">
        <f>EXP($C$12+$C$8*_xlfn.NORM.S.INV(RAND()))</f>
        <v/>
      </c>
    </row>
    <row r="6902">
      <c r="F6902">
        <f>F6901+1</f>
        <v/>
      </c>
      <c r="G6902" s="92">
        <f>EXP($C$12+$C$8*_xlfn.NORM.S.INV(RAND()))</f>
        <v/>
      </c>
    </row>
    <row r="6903">
      <c r="F6903">
        <f>F6902+1</f>
        <v/>
      </c>
      <c r="G6903" s="92">
        <f>EXP($C$12+$C$8*_xlfn.NORM.S.INV(RAND()))</f>
        <v/>
      </c>
    </row>
    <row r="6904">
      <c r="F6904">
        <f>F6903+1</f>
        <v/>
      </c>
      <c r="G6904" s="92">
        <f>EXP($C$12+$C$8*_xlfn.NORM.S.INV(RAND()))</f>
        <v/>
      </c>
    </row>
    <row r="6905">
      <c r="F6905">
        <f>F6904+1</f>
        <v/>
      </c>
      <c r="G6905" s="92">
        <f>EXP($C$12+$C$8*_xlfn.NORM.S.INV(RAND()))</f>
        <v/>
      </c>
    </row>
    <row r="6906">
      <c r="F6906">
        <f>F6905+1</f>
        <v/>
      </c>
      <c r="G6906" s="92">
        <f>EXP($C$12+$C$8*_xlfn.NORM.S.INV(RAND()))</f>
        <v/>
      </c>
    </row>
    <row r="6907">
      <c r="F6907">
        <f>F6906+1</f>
        <v/>
      </c>
      <c r="G6907" s="92">
        <f>EXP($C$12+$C$8*_xlfn.NORM.S.INV(RAND()))</f>
        <v/>
      </c>
    </row>
    <row r="6908">
      <c r="F6908">
        <f>F6907+1</f>
        <v/>
      </c>
      <c r="G6908" s="92">
        <f>EXP($C$12+$C$8*_xlfn.NORM.S.INV(RAND()))</f>
        <v/>
      </c>
    </row>
    <row r="6909">
      <c r="F6909">
        <f>F6908+1</f>
        <v/>
      </c>
      <c r="G6909" s="92">
        <f>EXP($C$12+$C$8*_xlfn.NORM.S.INV(RAND()))</f>
        <v/>
      </c>
    </row>
    <row r="6910">
      <c r="F6910">
        <f>F6909+1</f>
        <v/>
      </c>
      <c r="G6910" s="92">
        <f>EXP($C$12+$C$8*_xlfn.NORM.S.INV(RAND()))</f>
        <v/>
      </c>
    </row>
    <row r="6911">
      <c r="F6911">
        <f>F6910+1</f>
        <v/>
      </c>
      <c r="G6911" s="92">
        <f>EXP($C$12+$C$8*_xlfn.NORM.S.INV(RAND()))</f>
        <v/>
      </c>
    </row>
    <row r="6912">
      <c r="F6912">
        <f>F6911+1</f>
        <v/>
      </c>
      <c r="G6912" s="92">
        <f>EXP($C$12+$C$8*_xlfn.NORM.S.INV(RAND()))</f>
        <v/>
      </c>
    </row>
    <row r="6913">
      <c r="F6913">
        <f>F6912+1</f>
        <v/>
      </c>
      <c r="G6913" s="92">
        <f>EXP($C$12+$C$8*_xlfn.NORM.S.INV(RAND()))</f>
        <v/>
      </c>
    </row>
    <row r="6914">
      <c r="F6914">
        <f>F6913+1</f>
        <v/>
      </c>
      <c r="G6914" s="92">
        <f>EXP($C$12+$C$8*_xlfn.NORM.S.INV(RAND()))</f>
        <v/>
      </c>
    </row>
    <row r="6915">
      <c r="F6915">
        <f>F6914+1</f>
        <v/>
      </c>
      <c r="G6915" s="92">
        <f>EXP($C$12+$C$8*_xlfn.NORM.S.INV(RAND()))</f>
        <v/>
      </c>
    </row>
    <row r="6916">
      <c r="F6916">
        <f>F6915+1</f>
        <v/>
      </c>
      <c r="G6916" s="92">
        <f>EXP($C$12+$C$8*_xlfn.NORM.S.INV(RAND()))</f>
        <v/>
      </c>
    </row>
    <row r="6917">
      <c r="F6917">
        <f>F6916+1</f>
        <v/>
      </c>
      <c r="G6917" s="92">
        <f>EXP($C$12+$C$8*_xlfn.NORM.S.INV(RAND()))</f>
        <v/>
      </c>
    </row>
    <row r="6918">
      <c r="F6918">
        <f>F6917+1</f>
        <v/>
      </c>
      <c r="G6918" s="92">
        <f>EXP($C$12+$C$8*_xlfn.NORM.S.INV(RAND()))</f>
        <v/>
      </c>
    </row>
    <row r="6919">
      <c r="F6919">
        <f>F6918+1</f>
        <v/>
      </c>
      <c r="G6919" s="92">
        <f>EXP($C$12+$C$8*_xlfn.NORM.S.INV(RAND()))</f>
        <v/>
      </c>
    </row>
    <row r="6920">
      <c r="F6920">
        <f>F6919+1</f>
        <v/>
      </c>
      <c r="G6920" s="92">
        <f>EXP($C$12+$C$8*_xlfn.NORM.S.INV(RAND()))</f>
        <v/>
      </c>
    </row>
    <row r="6921">
      <c r="F6921">
        <f>F6920+1</f>
        <v/>
      </c>
      <c r="G6921" s="92">
        <f>EXP($C$12+$C$8*_xlfn.NORM.S.INV(RAND()))</f>
        <v/>
      </c>
    </row>
    <row r="6922">
      <c r="F6922">
        <f>F6921+1</f>
        <v/>
      </c>
      <c r="G6922" s="92">
        <f>EXP($C$12+$C$8*_xlfn.NORM.S.INV(RAND()))</f>
        <v/>
      </c>
    </row>
    <row r="6923">
      <c r="F6923">
        <f>F6922+1</f>
        <v/>
      </c>
      <c r="G6923" s="92">
        <f>EXP($C$12+$C$8*_xlfn.NORM.S.INV(RAND()))</f>
        <v/>
      </c>
    </row>
    <row r="6924">
      <c r="F6924">
        <f>F6923+1</f>
        <v/>
      </c>
      <c r="G6924" s="92">
        <f>EXP($C$12+$C$8*_xlfn.NORM.S.INV(RAND()))</f>
        <v/>
      </c>
    </row>
    <row r="6925">
      <c r="F6925">
        <f>F6924+1</f>
        <v/>
      </c>
      <c r="G6925" s="92">
        <f>EXP($C$12+$C$8*_xlfn.NORM.S.INV(RAND()))</f>
        <v/>
      </c>
    </row>
    <row r="6926">
      <c r="F6926">
        <f>F6925+1</f>
        <v/>
      </c>
      <c r="G6926" s="92">
        <f>EXP($C$12+$C$8*_xlfn.NORM.S.INV(RAND()))</f>
        <v/>
      </c>
    </row>
    <row r="6927">
      <c r="F6927">
        <f>F6926+1</f>
        <v/>
      </c>
      <c r="G6927" s="92">
        <f>EXP($C$12+$C$8*_xlfn.NORM.S.INV(RAND()))</f>
        <v/>
      </c>
    </row>
    <row r="6928">
      <c r="F6928">
        <f>F6927+1</f>
        <v/>
      </c>
      <c r="G6928" s="92">
        <f>EXP($C$12+$C$8*_xlfn.NORM.S.INV(RAND()))</f>
        <v/>
      </c>
    </row>
    <row r="6929">
      <c r="F6929">
        <f>F6928+1</f>
        <v/>
      </c>
      <c r="G6929" s="92">
        <f>EXP($C$12+$C$8*_xlfn.NORM.S.INV(RAND()))</f>
        <v/>
      </c>
    </row>
    <row r="6930">
      <c r="F6930">
        <f>F6929+1</f>
        <v/>
      </c>
      <c r="G6930" s="92">
        <f>EXP($C$12+$C$8*_xlfn.NORM.S.INV(RAND()))</f>
        <v/>
      </c>
    </row>
    <row r="6931">
      <c r="F6931">
        <f>F6930+1</f>
        <v/>
      </c>
      <c r="G6931" s="92">
        <f>EXP($C$12+$C$8*_xlfn.NORM.S.INV(RAND()))</f>
        <v/>
      </c>
    </row>
    <row r="6932">
      <c r="F6932">
        <f>F6931+1</f>
        <v/>
      </c>
      <c r="G6932" s="92">
        <f>EXP($C$12+$C$8*_xlfn.NORM.S.INV(RAND()))</f>
        <v/>
      </c>
    </row>
    <row r="6933">
      <c r="F6933">
        <f>F6932+1</f>
        <v/>
      </c>
      <c r="G6933" s="92">
        <f>EXP($C$12+$C$8*_xlfn.NORM.S.INV(RAND()))</f>
        <v/>
      </c>
    </row>
    <row r="6934">
      <c r="F6934">
        <f>F6933+1</f>
        <v/>
      </c>
      <c r="G6934" s="92">
        <f>EXP($C$12+$C$8*_xlfn.NORM.S.INV(RAND()))</f>
        <v/>
      </c>
    </row>
    <row r="6935">
      <c r="F6935">
        <f>F6934+1</f>
        <v/>
      </c>
      <c r="G6935" s="92">
        <f>EXP($C$12+$C$8*_xlfn.NORM.S.INV(RAND()))</f>
        <v/>
      </c>
    </row>
    <row r="6936">
      <c r="F6936">
        <f>F6935+1</f>
        <v/>
      </c>
      <c r="G6936" s="92">
        <f>EXP($C$12+$C$8*_xlfn.NORM.S.INV(RAND()))</f>
        <v/>
      </c>
    </row>
    <row r="6937">
      <c r="F6937">
        <f>F6936+1</f>
        <v/>
      </c>
      <c r="G6937" s="92">
        <f>EXP($C$12+$C$8*_xlfn.NORM.S.INV(RAND()))</f>
        <v/>
      </c>
    </row>
    <row r="6938">
      <c r="F6938">
        <f>F6937+1</f>
        <v/>
      </c>
      <c r="G6938" s="92">
        <f>EXP($C$12+$C$8*_xlfn.NORM.S.INV(RAND()))</f>
        <v/>
      </c>
    </row>
    <row r="6939">
      <c r="F6939">
        <f>F6938+1</f>
        <v/>
      </c>
      <c r="G6939" s="92">
        <f>EXP($C$12+$C$8*_xlfn.NORM.S.INV(RAND()))</f>
        <v/>
      </c>
    </row>
    <row r="6940">
      <c r="F6940">
        <f>F6939+1</f>
        <v/>
      </c>
      <c r="G6940" s="92">
        <f>EXP($C$12+$C$8*_xlfn.NORM.S.INV(RAND()))</f>
        <v/>
      </c>
    </row>
    <row r="6941">
      <c r="F6941">
        <f>F6940+1</f>
        <v/>
      </c>
      <c r="G6941" s="92">
        <f>EXP($C$12+$C$8*_xlfn.NORM.S.INV(RAND()))</f>
        <v/>
      </c>
    </row>
    <row r="6942">
      <c r="F6942">
        <f>F6941+1</f>
        <v/>
      </c>
      <c r="G6942" s="92">
        <f>EXP($C$12+$C$8*_xlfn.NORM.S.INV(RAND()))</f>
        <v/>
      </c>
    </row>
    <row r="6943">
      <c r="F6943">
        <f>F6942+1</f>
        <v/>
      </c>
      <c r="G6943" s="92">
        <f>EXP($C$12+$C$8*_xlfn.NORM.S.INV(RAND()))</f>
        <v/>
      </c>
    </row>
    <row r="6944">
      <c r="F6944">
        <f>F6943+1</f>
        <v/>
      </c>
      <c r="G6944" s="92">
        <f>EXP($C$12+$C$8*_xlfn.NORM.S.INV(RAND()))</f>
        <v/>
      </c>
    </row>
    <row r="6945">
      <c r="F6945">
        <f>F6944+1</f>
        <v/>
      </c>
      <c r="G6945" s="92">
        <f>EXP($C$12+$C$8*_xlfn.NORM.S.INV(RAND()))</f>
        <v/>
      </c>
    </row>
    <row r="6946">
      <c r="F6946">
        <f>F6945+1</f>
        <v/>
      </c>
      <c r="G6946" s="92">
        <f>EXP($C$12+$C$8*_xlfn.NORM.S.INV(RAND()))</f>
        <v/>
      </c>
    </row>
    <row r="6947">
      <c r="F6947">
        <f>F6946+1</f>
        <v/>
      </c>
      <c r="G6947" s="92">
        <f>EXP($C$12+$C$8*_xlfn.NORM.S.INV(RAND()))</f>
        <v/>
      </c>
    </row>
    <row r="6948">
      <c r="F6948">
        <f>F6947+1</f>
        <v/>
      </c>
      <c r="G6948" s="92">
        <f>EXP($C$12+$C$8*_xlfn.NORM.S.INV(RAND()))</f>
        <v/>
      </c>
    </row>
    <row r="6949">
      <c r="F6949">
        <f>F6948+1</f>
        <v/>
      </c>
      <c r="G6949" s="92">
        <f>EXP($C$12+$C$8*_xlfn.NORM.S.INV(RAND()))</f>
        <v/>
      </c>
    </row>
    <row r="6950">
      <c r="F6950">
        <f>F6949+1</f>
        <v/>
      </c>
      <c r="G6950" s="92">
        <f>EXP($C$12+$C$8*_xlfn.NORM.S.INV(RAND()))</f>
        <v/>
      </c>
    </row>
    <row r="6951">
      <c r="F6951">
        <f>F6950+1</f>
        <v/>
      </c>
      <c r="G6951" s="92">
        <f>EXP($C$12+$C$8*_xlfn.NORM.S.INV(RAND()))</f>
        <v/>
      </c>
    </row>
    <row r="6952">
      <c r="F6952">
        <f>F6951+1</f>
        <v/>
      </c>
      <c r="G6952" s="92">
        <f>EXP($C$12+$C$8*_xlfn.NORM.S.INV(RAND()))</f>
        <v/>
      </c>
    </row>
    <row r="6953">
      <c r="F6953">
        <f>F6952+1</f>
        <v/>
      </c>
      <c r="G6953" s="92">
        <f>EXP($C$12+$C$8*_xlfn.NORM.S.INV(RAND()))</f>
        <v/>
      </c>
    </row>
    <row r="6954">
      <c r="F6954">
        <f>F6953+1</f>
        <v/>
      </c>
      <c r="G6954" s="92">
        <f>EXP($C$12+$C$8*_xlfn.NORM.S.INV(RAND()))</f>
        <v/>
      </c>
    </row>
    <row r="6955">
      <c r="F6955">
        <f>F6954+1</f>
        <v/>
      </c>
      <c r="G6955" s="92">
        <f>EXP($C$12+$C$8*_xlfn.NORM.S.INV(RAND()))</f>
        <v/>
      </c>
    </row>
    <row r="6956">
      <c r="F6956">
        <f>F6955+1</f>
        <v/>
      </c>
      <c r="G6956" s="92">
        <f>EXP($C$12+$C$8*_xlfn.NORM.S.INV(RAND()))</f>
        <v/>
      </c>
    </row>
    <row r="6957">
      <c r="F6957">
        <f>F6956+1</f>
        <v/>
      </c>
      <c r="G6957" s="92">
        <f>EXP($C$12+$C$8*_xlfn.NORM.S.INV(RAND()))</f>
        <v/>
      </c>
    </row>
    <row r="6958">
      <c r="F6958">
        <f>F6957+1</f>
        <v/>
      </c>
      <c r="G6958" s="92">
        <f>EXP($C$12+$C$8*_xlfn.NORM.S.INV(RAND()))</f>
        <v/>
      </c>
    </row>
    <row r="6959">
      <c r="F6959">
        <f>F6958+1</f>
        <v/>
      </c>
      <c r="G6959" s="92">
        <f>EXP($C$12+$C$8*_xlfn.NORM.S.INV(RAND()))</f>
        <v/>
      </c>
    </row>
    <row r="6960">
      <c r="F6960">
        <f>F6959+1</f>
        <v/>
      </c>
      <c r="G6960" s="92">
        <f>EXP($C$12+$C$8*_xlfn.NORM.S.INV(RAND()))</f>
        <v/>
      </c>
    </row>
    <row r="6961">
      <c r="F6961">
        <f>F6960+1</f>
        <v/>
      </c>
      <c r="G6961" s="92">
        <f>EXP($C$12+$C$8*_xlfn.NORM.S.INV(RAND()))</f>
        <v/>
      </c>
    </row>
    <row r="6962">
      <c r="F6962">
        <f>F6961+1</f>
        <v/>
      </c>
      <c r="G6962" s="92">
        <f>EXP($C$12+$C$8*_xlfn.NORM.S.INV(RAND()))</f>
        <v/>
      </c>
    </row>
    <row r="6963">
      <c r="F6963">
        <f>F6962+1</f>
        <v/>
      </c>
      <c r="G6963" s="92">
        <f>EXP($C$12+$C$8*_xlfn.NORM.S.INV(RAND()))</f>
        <v/>
      </c>
    </row>
    <row r="6964">
      <c r="F6964">
        <f>F6963+1</f>
        <v/>
      </c>
      <c r="G6964" s="92">
        <f>EXP($C$12+$C$8*_xlfn.NORM.S.INV(RAND()))</f>
        <v/>
      </c>
    </row>
    <row r="6965">
      <c r="F6965">
        <f>F6964+1</f>
        <v/>
      </c>
      <c r="G6965" s="92">
        <f>EXP($C$12+$C$8*_xlfn.NORM.S.INV(RAND()))</f>
        <v/>
      </c>
    </row>
    <row r="6966">
      <c r="F6966">
        <f>F6965+1</f>
        <v/>
      </c>
      <c r="G6966" s="92">
        <f>EXP($C$12+$C$8*_xlfn.NORM.S.INV(RAND()))</f>
        <v/>
      </c>
    </row>
    <row r="6967">
      <c r="F6967">
        <f>F6966+1</f>
        <v/>
      </c>
      <c r="G6967" s="92">
        <f>EXP($C$12+$C$8*_xlfn.NORM.S.INV(RAND()))</f>
        <v/>
      </c>
    </row>
    <row r="6968">
      <c r="F6968">
        <f>F6967+1</f>
        <v/>
      </c>
      <c r="G6968" s="92">
        <f>EXP($C$12+$C$8*_xlfn.NORM.S.INV(RAND()))</f>
        <v/>
      </c>
    </row>
    <row r="6969">
      <c r="F6969">
        <f>F6968+1</f>
        <v/>
      </c>
      <c r="G6969" s="92">
        <f>EXP($C$12+$C$8*_xlfn.NORM.S.INV(RAND()))</f>
        <v/>
      </c>
    </row>
    <row r="6970">
      <c r="F6970">
        <f>F6969+1</f>
        <v/>
      </c>
      <c r="G6970" s="92">
        <f>EXP($C$12+$C$8*_xlfn.NORM.S.INV(RAND()))</f>
        <v/>
      </c>
    </row>
    <row r="6971">
      <c r="F6971">
        <f>F6970+1</f>
        <v/>
      </c>
      <c r="G6971" s="92">
        <f>EXP($C$12+$C$8*_xlfn.NORM.S.INV(RAND()))</f>
        <v/>
      </c>
    </row>
    <row r="6972">
      <c r="F6972">
        <f>F6971+1</f>
        <v/>
      </c>
      <c r="G6972" s="92">
        <f>EXP($C$12+$C$8*_xlfn.NORM.S.INV(RAND()))</f>
        <v/>
      </c>
    </row>
    <row r="6973">
      <c r="F6973">
        <f>F6972+1</f>
        <v/>
      </c>
      <c r="G6973" s="92">
        <f>EXP($C$12+$C$8*_xlfn.NORM.S.INV(RAND()))</f>
        <v/>
      </c>
    </row>
    <row r="6974">
      <c r="F6974">
        <f>F6973+1</f>
        <v/>
      </c>
      <c r="G6974" s="92">
        <f>EXP($C$12+$C$8*_xlfn.NORM.S.INV(RAND()))</f>
        <v/>
      </c>
    </row>
    <row r="6975">
      <c r="F6975">
        <f>F6974+1</f>
        <v/>
      </c>
      <c r="G6975" s="92">
        <f>EXP($C$12+$C$8*_xlfn.NORM.S.INV(RAND()))</f>
        <v/>
      </c>
    </row>
    <row r="6976">
      <c r="F6976">
        <f>F6975+1</f>
        <v/>
      </c>
      <c r="G6976" s="92">
        <f>EXP($C$12+$C$8*_xlfn.NORM.S.INV(RAND()))</f>
        <v/>
      </c>
    </row>
    <row r="6977">
      <c r="F6977">
        <f>F6976+1</f>
        <v/>
      </c>
      <c r="G6977" s="92">
        <f>EXP($C$12+$C$8*_xlfn.NORM.S.INV(RAND()))</f>
        <v/>
      </c>
    </row>
    <row r="6978">
      <c r="F6978">
        <f>F6977+1</f>
        <v/>
      </c>
      <c r="G6978" s="92">
        <f>EXP($C$12+$C$8*_xlfn.NORM.S.INV(RAND()))</f>
        <v/>
      </c>
    </row>
    <row r="6979">
      <c r="F6979">
        <f>F6978+1</f>
        <v/>
      </c>
      <c r="G6979" s="92">
        <f>EXP($C$12+$C$8*_xlfn.NORM.S.INV(RAND()))</f>
        <v/>
      </c>
    </row>
    <row r="6980">
      <c r="F6980">
        <f>F6979+1</f>
        <v/>
      </c>
      <c r="G6980" s="92">
        <f>EXP($C$12+$C$8*_xlfn.NORM.S.INV(RAND()))</f>
        <v/>
      </c>
    </row>
    <row r="6981">
      <c r="F6981">
        <f>F6980+1</f>
        <v/>
      </c>
      <c r="G6981" s="92">
        <f>EXP($C$12+$C$8*_xlfn.NORM.S.INV(RAND()))</f>
        <v/>
      </c>
    </row>
    <row r="6982">
      <c r="F6982">
        <f>F6981+1</f>
        <v/>
      </c>
      <c r="G6982" s="92">
        <f>EXP($C$12+$C$8*_xlfn.NORM.S.INV(RAND()))</f>
        <v/>
      </c>
    </row>
    <row r="6983">
      <c r="F6983">
        <f>F6982+1</f>
        <v/>
      </c>
      <c r="G6983" s="92">
        <f>EXP($C$12+$C$8*_xlfn.NORM.S.INV(RAND()))</f>
        <v/>
      </c>
    </row>
    <row r="6984">
      <c r="F6984">
        <f>F6983+1</f>
        <v/>
      </c>
      <c r="G6984" s="92">
        <f>EXP($C$12+$C$8*_xlfn.NORM.S.INV(RAND()))</f>
        <v/>
      </c>
    </row>
    <row r="6985">
      <c r="F6985">
        <f>F6984+1</f>
        <v/>
      </c>
      <c r="G6985" s="92">
        <f>EXP($C$12+$C$8*_xlfn.NORM.S.INV(RAND()))</f>
        <v/>
      </c>
    </row>
    <row r="6986">
      <c r="F6986">
        <f>F6985+1</f>
        <v/>
      </c>
      <c r="G6986" s="92">
        <f>EXP($C$12+$C$8*_xlfn.NORM.S.INV(RAND()))</f>
        <v/>
      </c>
    </row>
    <row r="6987">
      <c r="F6987">
        <f>F6986+1</f>
        <v/>
      </c>
      <c r="G6987" s="92">
        <f>EXP($C$12+$C$8*_xlfn.NORM.S.INV(RAND()))</f>
        <v/>
      </c>
    </row>
    <row r="6988">
      <c r="F6988">
        <f>F6987+1</f>
        <v/>
      </c>
      <c r="G6988" s="92">
        <f>EXP($C$12+$C$8*_xlfn.NORM.S.INV(RAND()))</f>
        <v/>
      </c>
    </row>
    <row r="6989">
      <c r="F6989">
        <f>F6988+1</f>
        <v/>
      </c>
      <c r="G6989" s="92">
        <f>EXP($C$12+$C$8*_xlfn.NORM.S.INV(RAND()))</f>
        <v/>
      </c>
    </row>
    <row r="6990">
      <c r="F6990">
        <f>F6989+1</f>
        <v/>
      </c>
      <c r="G6990" s="92">
        <f>EXP($C$12+$C$8*_xlfn.NORM.S.INV(RAND()))</f>
        <v/>
      </c>
    </row>
    <row r="6991">
      <c r="F6991">
        <f>F6990+1</f>
        <v/>
      </c>
      <c r="G6991" s="92">
        <f>EXP($C$12+$C$8*_xlfn.NORM.S.INV(RAND()))</f>
        <v/>
      </c>
    </row>
    <row r="6992">
      <c r="F6992">
        <f>F6991+1</f>
        <v/>
      </c>
      <c r="G6992" s="92">
        <f>EXP($C$12+$C$8*_xlfn.NORM.S.INV(RAND()))</f>
        <v/>
      </c>
    </row>
    <row r="6993">
      <c r="F6993">
        <f>F6992+1</f>
        <v/>
      </c>
      <c r="G6993" s="92">
        <f>EXP($C$12+$C$8*_xlfn.NORM.S.INV(RAND()))</f>
        <v/>
      </c>
    </row>
    <row r="6994">
      <c r="F6994">
        <f>F6993+1</f>
        <v/>
      </c>
      <c r="G6994" s="92">
        <f>EXP($C$12+$C$8*_xlfn.NORM.S.INV(RAND()))</f>
        <v/>
      </c>
    </row>
    <row r="6995">
      <c r="F6995">
        <f>F6994+1</f>
        <v/>
      </c>
      <c r="G6995" s="92">
        <f>EXP($C$12+$C$8*_xlfn.NORM.S.INV(RAND()))</f>
        <v/>
      </c>
    </row>
    <row r="6996">
      <c r="F6996">
        <f>F6995+1</f>
        <v/>
      </c>
      <c r="G6996" s="92">
        <f>EXP($C$12+$C$8*_xlfn.NORM.S.INV(RAND()))</f>
        <v/>
      </c>
    </row>
    <row r="6997">
      <c r="F6997">
        <f>F6996+1</f>
        <v/>
      </c>
      <c r="G6997" s="92">
        <f>EXP($C$12+$C$8*_xlfn.NORM.S.INV(RAND()))</f>
        <v/>
      </c>
    </row>
    <row r="6998">
      <c r="F6998">
        <f>F6997+1</f>
        <v/>
      </c>
      <c r="G6998" s="92">
        <f>EXP($C$12+$C$8*_xlfn.NORM.S.INV(RAND()))</f>
        <v/>
      </c>
    </row>
    <row r="6999">
      <c r="F6999">
        <f>F6998+1</f>
        <v/>
      </c>
      <c r="G6999" s="92">
        <f>EXP($C$12+$C$8*_xlfn.NORM.S.INV(RAND()))</f>
        <v/>
      </c>
    </row>
    <row r="7000">
      <c r="F7000">
        <f>F6999+1</f>
        <v/>
      </c>
      <c r="G7000" s="92">
        <f>EXP($C$12+$C$8*_xlfn.NORM.S.INV(RAND()))</f>
        <v/>
      </c>
    </row>
    <row r="7001">
      <c r="F7001">
        <f>F7000+1</f>
        <v/>
      </c>
      <c r="G7001" s="92">
        <f>EXP($C$12+$C$8*_xlfn.NORM.S.INV(RAND()))</f>
        <v/>
      </c>
    </row>
    <row r="7002">
      <c r="F7002">
        <f>F7001+1</f>
        <v/>
      </c>
      <c r="G7002" s="92">
        <f>EXP($C$12+$C$8*_xlfn.NORM.S.INV(RAND()))</f>
        <v/>
      </c>
    </row>
    <row r="7003">
      <c r="F7003">
        <f>F7002+1</f>
        <v/>
      </c>
      <c r="G7003" s="92">
        <f>EXP($C$12+$C$8*_xlfn.NORM.S.INV(RAND()))</f>
        <v/>
      </c>
    </row>
    <row r="7004">
      <c r="F7004">
        <f>F7003+1</f>
        <v/>
      </c>
      <c r="G7004" s="92">
        <f>EXP($C$12+$C$8*_xlfn.NORM.S.INV(RAND()))</f>
        <v/>
      </c>
    </row>
    <row r="7005">
      <c r="F7005">
        <f>F7004+1</f>
        <v/>
      </c>
      <c r="G7005" s="92">
        <f>EXP($C$12+$C$8*_xlfn.NORM.S.INV(RAND()))</f>
        <v/>
      </c>
    </row>
    <row r="7006">
      <c r="F7006">
        <f>F7005+1</f>
        <v/>
      </c>
      <c r="G7006" s="92">
        <f>EXP($C$12+$C$8*_xlfn.NORM.S.INV(RAND()))</f>
        <v/>
      </c>
    </row>
    <row r="7007">
      <c r="F7007">
        <f>F7006+1</f>
        <v/>
      </c>
      <c r="G7007" s="92">
        <f>EXP($C$12+$C$8*_xlfn.NORM.S.INV(RAND()))</f>
        <v/>
      </c>
    </row>
    <row r="7008">
      <c r="F7008">
        <f>F7007+1</f>
        <v/>
      </c>
      <c r="G7008" s="92">
        <f>EXP($C$12+$C$8*_xlfn.NORM.S.INV(RAND()))</f>
        <v/>
      </c>
    </row>
    <row r="7009">
      <c r="F7009">
        <f>F7008+1</f>
        <v/>
      </c>
      <c r="G7009" s="92">
        <f>EXP($C$12+$C$8*_xlfn.NORM.S.INV(RAND()))</f>
        <v/>
      </c>
    </row>
    <row r="7010">
      <c r="F7010">
        <f>F7009+1</f>
        <v/>
      </c>
      <c r="G7010" s="92">
        <f>EXP($C$12+$C$8*_xlfn.NORM.S.INV(RAND()))</f>
        <v/>
      </c>
    </row>
    <row r="7011">
      <c r="F7011">
        <f>F7010+1</f>
        <v/>
      </c>
      <c r="G7011" s="92">
        <f>EXP($C$12+$C$8*_xlfn.NORM.S.INV(RAND()))</f>
        <v/>
      </c>
    </row>
    <row r="7012">
      <c r="F7012">
        <f>F7011+1</f>
        <v/>
      </c>
      <c r="G7012" s="92">
        <f>EXP($C$12+$C$8*_xlfn.NORM.S.INV(RAND()))</f>
        <v/>
      </c>
    </row>
    <row r="7013">
      <c r="F7013">
        <f>F7012+1</f>
        <v/>
      </c>
      <c r="G7013" s="92">
        <f>EXP($C$12+$C$8*_xlfn.NORM.S.INV(RAND()))</f>
        <v/>
      </c>
    </row>
    <row r="7014">
      <c r="F7014">
        <f>F7013+1</f>
        <v/>
      </c>
      <c r="G7014" s="92">
        <f>EXP($C$12+$C$8*_xlfn.NORM.S.INV(RAND()))</f>
        <v/>
      </c>
    </row>
    <row r="7015">
      <c r="F7015">
        <f>F7014+1</f>
        <v/>
      </c>
      <c r="G7015" s="92">
        <f>EXP($C$12+$C$8*_xlfn.NORM.S.INV(RAND()))</f>
        <v/>
      </c>
    </row>
    <row r="7016">
      <c r="F7016">
        <f>F7015+1</f>
        <v/>
      </c>
      <c r="G7016" s="92">
        <f>EXP($C$12+$C$8*_xlfn.NORM.S.INV(RAND()))</f>
        <v/>
      </c>
    </row>
    <row r="7017">
      <c r="F7017">
        <f>F7016+1</f>
        <v/>
      </c>
      <c r="G7017" s="92">
        <f>EXP($C$12+$C$8*_xlfn.NORM.S.INV(RAND()))</f>
        <v/>
      </c>
    </row>
    <row r="7018">
      <c r="F7018">
        <f>F7017+1</f>
        <v/>
      </c>
      <c r="G7018" s="92">
        <f>EXP($C$12+$C$8*_xlfn.NORM.S.INV(RAND()))</f>
        <v/>
      </c>
    </row>
    <row r="7019">
      <c r="F7019">
        <f>F7018+1</f>
        <v/>
      </c>
      <c r="G7019" s="92">
        <f>EXP($C$12+$C$8*_xlfn.NORM.S.INV(RAND()))</f>
        <v/>
      </c>
    </row>
    <row r="7020">
      <c r="F7020">
        <f>F7019+1</f>
        <v/>
      </c>
      <c r="G7020" s="92">
        <f>EXP($C$12+$C$8*_xlfn.NORM.S.INV(RAND()))</f>
        <v/>
      </c>
    </row>
    <row r="7021">
      <c r="F7021">
        <f>F7020+1</f>
        <v/>
      </c>
      <c r="G7021" s="92">
        <f>EXP($C$12+$C$8*_xlfn.NORM.S.INV(RAND()))</f>
        <v/>
      </c>
    </row>
    <row r="7022">
      <c r="F7022">
        <f>F7021+1</f>
        <v/>
      </c>
      <c r="G7022" s="92">
        <f>EXP($C$12+$C$8*_xlfn.NORM.S.INV(RAND()))</f>
        <v/>
      </c>
    </row>
    <row r="7023">
      <c r="F7023">
        <f>F7022+1</f>
        <v/>
      </c>
      <c r="G7023" s="92">
        <f>EXP($C$12+$C$8*_xlfn.NORM.S.INV(RAND()))</f>
        <v/>
      </c>
    </row>
    <row r="7024">
      <c r="F7024">
        <f>F7023+1</f>
        <v/>
      </c>
      <c r="G7024" s="92">
        <f>EXP($C$12+$C$8*_xlfn.NORM.S.INV(RAND()))</f>
        <v/>
      </c>
    </row>
    <row r="7025">
      <c r="F7025">
        <f>F7024+1</f>
        <v/>
      </c>
      <c r="G7025" s="92">
        <f>EXP($C$12+$C$8*_xlfn.NORM.S.INV(RAND()))</f>
        <v/>
      </c>
    </row>
    <row r="7026">
      <c r="F7026">
        <f>F7025+1</f>
        <v/>
      </c>
      <c r="G7026" s="92">
        <f>EXP($C$12+$C$8*_xlfn.NORM.S.INV(RAND()))</f>
        <v/>
      </c>
    </row>
    <row r="7027">
      <c r="F7027">
        <f>F7026+1</f>
        <v/>
      </c>
      <c r="G7027" s="92">
        <f>EXP($C$12+$C$8*_xlfn.NORM.S.INV(RAND()))</f>
        <v/>
      </c>
    </row>
    <row r="7028">
      <c r="F7028">
        <f>F7027+1</f>
        <v/>
      </c>
      <c r="G7028" s="92">
        <f>EXP($C$12+$C$8*_xlfn.NORM.S.INV(RAND()))</f>
        <v/>
      </c>
    </row>
    <row r="7029">
      <c r="F7029">
        <f>F7028+1</f>
        <v/>
      </c>
      <c r="G7029" s="92">
        <f>EXP($C$12+$C$8*_xlfn.NORM.S.INV(RAND()))</f>
        <v/>
      </c>
    </row>
    <row r="7030">
      <c r="F7030">
        <f>F7029+1</f>
        <v/>
      </c>
      <c r="G7030" s="92">
        <f>EXP($C$12+$C$8*_xlfn.NORM.S.INV(RAND()))</f>
        <v/>
      </c>
    </row>
    <row r="7031">
      <c r="F7031">
        <f>F7030+1</f>
        <v/>
      </c>
      <c r="G7031" s="92">
        <f>EXP($C$12+$C$8*_xlfn.NORM.S.INV(RAND()))</f>
        <v/>
      </c>
    </row>
    <row r="7032">
      <c r="F7032">
        <f>F7031+1</f>
        <v/>
      </c>
      <c r="G7032" s="92">
        <f>EXP($C$12+$C$8*_xlfn.NORM.S.INV(RAND()))</f>
        <v/>
      </c>
    </row>
    <row r="7033">
      <c r="F7033">
        <f>F7032+1</f>
        <v/>
      </c>
      <c r="G7033" s="92">
        <f>EXP($C$12+$C$8*_xlfn.NORM.S.INV(RAND()))</f>
        <v/>
      </c>
    </row>
    <row r="7034">
      <c r="F7034">
        <f>F7033+1</f>
        <v/>
      </c>
      <c r="G7034" s="92">
        <f>EXP($C$12+$C$8*_xlfn.NORM.S.INV(RAND()))</f>
        <v/>
      </c>
    </row>
    <row r="7035">
      <c r="F7035">
        <f>F7034+1</f>
        <v/>
      </c>
      <c r="G7035" s="92">
        <f>EXP($C$12+$C$8*_xlfn.NORM.S.INV(RAND()))</f>
        <v/>
      </c>
    </row>
    <row r="7036">
      <c r="F7036">
        <f>F7035+1</f>
        <v/>
      </c>
      <c r="G7036" s="92">
        <f>EXP($C$12+$C$8*_xlfn.NORM.S.INV(RAND()))</f>
        <v/>
      </c>
    </row>
    <row r="7037">
      <c r="F7037">
        <f>F7036+1</f>
        <v/>
      </c>
      <c r="G7037" s="92">
        <f>EXP($C$12+$C$8*_xlfn.NORM.S.INV(RAND()))</f>
        <v/>
      </c>
    </row>
    <row r="7038">
      <c r="F7038">
        <f>F7037+1</f>
        <v/>
      </c>
      <c r="G7038" s="92">
        <f>EXP($C$12+$C$8*_xlfn.NORM.S.INV(RAND()))</f>
        <v/>
      </c>
    </row>
    <row r="7039">
      <c r="F7039">
        <f>F7038+1</f>
        <v/>
      </c>
      <c r="G7039" s="92">
        <f>EXP($C$12+$C$8*_xlfn.NORM.S.INV(RAND()))</f>
        <v/>
      </c>
    </row>
    <row r="7040">
      <c r="F7040">
        <f>F7039+1</f>
        <v/>
      </c>
      <c r="G7040" s="92">
        <f>EXP($C$12+$C$8*_xlfn.NORM.S.INV(RAND()))</f>
        <v/>
      </c>
    </row>
    <row r="7041">
      <c r="F7041">
        <f>F7040+1</f>
        <v/>
      </c>
      <c r="G7041" s="92">
        <f>EXP($C$12+$C$8*_xlfn.NORM.S.INV(RAND()))</f>
        <v/>
      </c>
    </row>
    <row r="7042">
      <c r="F7042">
        <f>F7041+1</f>
        <v/>
      </c>
      <c r="G7042" s="92">
        <f>EXP($C$12+$C$8*_xlfn.NORM.S.INV(RAND()))</f>
        <v/>
      </c>
    </row>
    <row r="7043">
      <c r="F7043">
        <f>F7042+1</f>
        <v/>
      </c>
      <c r="G7043" s="92">
        <f>EXP($C$12+$C$8*_xlfn.NORM.S.INV(RAND()))</f>
        <v/>
      </c>
    </row>
    <row r="7044">
      <c r="F7044">
        <f>F7043+1</f>
        <v/>
      </c>
      <c r="G7044" s="92">
        <f>EXP($C$12+$C$8*_xlfn.NORM.S.INV(RAND()))</f>
        <v/>
      </c>
    </row>
    <row r="7045">
      <c r="F7045">
        <f>F7044+1</f>
        <v/>
      </c>
      <c r="G7045" s="92">
        <f>EXP($C$12+$C$8*_xlfn.NORM.S.INV(RAND()))</f>
        <v/>
      </c>
    </row>
    <row r="7046">
      <c r="F7046">
        <f>F7045+1</f>
        <v/>
      </c>
      <c r="G7046" s="92">
        <f>EXP($C$12+$C$8*_xlfn.NORM.S.INV(RAND()))</f>
        <v/>
      </c>
    </row>
    <row r="7047">
      <c r="F7047">
        <f>F7046+1</f>
        <v/>
      </c>
      <c r="G7047" s="92">
        <f>EXP($C$12+$C$8*_xlfn.NORM.S.INV(RAND()))</f>
        <v/>
      </c>
    </row>
    <row r="7048">
      <c r="F7048">
        <f>F7047+1</f>
        <v/>
      </c>
      <c r="G7048" s="92">
        <f>EXP($C$12+$C$8*_xlfn.NORM.S.INV(RAND()))</f>
        <v/>
      </c>
    </row>
    <row r="7049">
      <c r="F7049">
        <f>F7048+1</f>
        <v/>
      </c>
      <c r="G7049" s="92">
        <f>EXP($C$12+$C$8*_xlfn.NORM.S.INV(RAND()))</f>
        <v/>
      </c>
    </row>
    <row r="7050">
      <c r="F7050">
        <f>F7049+1</f>
        <v/>
      </c>
      <c r="G7050" s="92">
        <f>EXP($C$12+$C$8*_xlfn.NORM.S.INV(RAND()))</f>
        <v/>
      </c>
    </row>
    <row r="7051">
      <c r="F7051">
        <f>F7050+1</f>
        <v/>
      </c>
      <c r="G7051" s="92">
        <f>EXP($C$12+$C$8*_xlfn.NORM.S.INV(RAND()))</f>
        <v/>
      </c>
    </row>
    <row r="7052">
      <c r="F7052">
        <f>F7051+1</f>
        <v/>
      </c>
      <c r="G7052" s="92">
        <f>EXP($C$12+$C$8*_xlfn.NORM.S.INV(RAND()))</f>
        <v/>
      </c>
    </row>
    <row r="7053">
      <c r="F7053">
        <f>F7052+1</f>
        <v/>
      </c>
      <c r="G7053" s="92">
        <f>EXP($C$12+$C$8*_xlfn.NORM.S.INV(RAND()))</f>
        <v/>
      </c>
    </row>
    <row r="7054">
      <c r="F7054">
        <f>F7053+1</f>
        <v/>
      </c>
      <c r="G7054" s="92">
        <f>EXP($C$12+$C$8*_xlfn.NORM.S.INV(RAND()))</f>
        <v/>
      </c>
    </row>
    <row r="7055">
      <c r="F7055">
        <f>F7054+1</f>
        <v/>
      </c>
      <c r="G7055" s="92">
        <f>EXP($C$12+$C$8*_xlfn.NORM.S.INV(RAND()))</f>
        <v/>
      </c>
    </row>
    <row r="7056">
      <c r="F7056">
        <f>F7055+1</f>
        <v/>
      </c>
      <c r="G7056" s="92">
        <f>EXP($C$12+$C$8*_xlfn.NORM.S.INV(RAND()))</f>
        <v/>
      </c>
    </row>
    <row r="7057">
      <c r="F7057">
        <f>F7056+1</f>
        <v/>
      </c>
      <c r="G7057" s="92">
        <f>EXP($C$12+$C$8*_xlfn.NORM.S.INV(RAND()))</f>
        <v/>
      </c>
    </row>
    <row r="7058">
      <c r="F7058">
        <f>F7057+1</f>
        <v/>
      </c>
      <c r="G7058" s="92">
        <f>EXP($C$12+$C$8*_xlfn.NORM.S.INV(RAND()))</f>
        <v/>
      </c>
    </row>
    <row r="7059">
      <c r="F7059">
        <f>F7058+1</f>
        <v/>
      </c>
      <c r="G7059" s="92">
        <f>EXP($C$12+$C$8*_xlfn.NORM.S.INV(RAND()))</f>
        <v/>
      </c>
    </row>
    <row r="7060">
      <c r="F7060">
        <f>F7059+1</f>
        <v/>
      </c>
      <c r="G7060" s="92">
        <f>EXP($C$12+$C$8*_xlfn.NORM.S.INV(RAND()))</f>
        <v/>
      </c>
    </row>
    <row r="7061">
      <c r="F7061">
        <f>F7060+1</f>
        <v/>
      </c>
      <c r="G7061" s="92">
        <f>EXP($C$12+$C$8*_xlfn.NORM.S.INV(RAND()))</f>
        <v/>
      </c>
    </row>
    <row r="7062">
      <c r="F7062">
        <f>F7061+1</f>
        <v/>
      </c>
      <c r="G7062" s="92">
        <f>EXP($C$12+$C$8*_xlfn.NORM.S.INV(RAND()))</f>
        <v/>
      </c>
    </row>
    <row r="7063">
      <c r="F7063">
        <f>F7062+1</f>
        <v/>
      </c>
      <c r="G7063" s="92">
        <f>EXP($C$12+$C$8*_xlfn.NORM.S.INV(RAND()))</f>
        <v/>
      </c>
    </row>
    <row r="7064">
      <c r="F7064">
        <f>F7063+1</f>
        <v/>
      </c>
      <c r="G7064" s="92">
        <f>EXP($C$12+$C$8*_xlfn.NORM.S.INV(RAND()))</f>
        <v/>
      </c>
    </row>
    <row r="7065">
      <c r="F7065">
        <f>F7064+1</f>
        <v/>
      </c>
      <c r="G7065" s="92">
        <f>EXP($C$12+$C$8*_xlfn.NORM.S.INV(RAND()))</f>
        <v/>
      </c>
    </row>
    <row r="7066">
      <c r="F7066">
        <f>F7065+1</f>
        <v/>
      </c>
      <c r="G7066" s="92">
        <f>EXP($C$12+$C$8*_xlfn.NORM.S.INV(RAND()))</f>
        <v/>
      </c>
    </row>
    <row r="7067">
      <c r="F7067">
        <f>F7066+1</f>
        <v/>
      </c>
      <c r="G7067" s="92">
        <f>EXP($C$12+$C$8*_xlfn.NORM.S.INV(RAND()))</f>
        <v/>
      </c>
    </row>
    <row r="7068">
      <c r="F7068">
        <f>F7067+1</f>
        <v/>
      </c>
      <c r="G7068" s="92">
        <f>EXP($C$12+$C$8*_xlfn.NORM.S.INV(RAND()))</f>
        <v/>
      </c>
    </row>
    <row r="7069">
      <c r="F7069">
        <f>F7068+1</f>
        <v/>
      </c>
      <c r="G7069" s="92">
        <f>EXP($C$12+$C$8*_xlfn.NORM.S.INV(RAND()))</f>
        <v/>
      </c>
    </row>
    <row r="7070">
      <c r="F7070">
        <f>F7069+1</f>
        <v/>
      </c>
      <c r="G7070" s="92">
        <f>EXP($C$12+$C$8*_xlfn.NORM.S.INV(RAND()))</f>
        <v/>
      </c>
    </row>
    <row r="7071">
      <c r="F7071">
        <f>F7070+1</f>
        <v/>
      </c>
      <c r="G7071" s="92">
        <f>EXP($C$12+$C$8*_xlfn.NORM.S.INV(RAND()))</f>
        <v/>
      </c>
    </row>
    <row r="7072">
      <c r="F7072">
        <f>F7071+1</f>
        <v/>
      </c>
      <c r="G7072" s="92">
        <f>EXP($C$12+$C$8*_xlfn.NORM.S.INV(RAND()))</f>
        <v/>
      </c>
    </row>
    <row r="7073">
      <c r="F7073">
        <f>F7072+1</f>
        <v/>
      </c>
      <c r="G7073" s="92">
        <f>EXP($C$12+$C$8*_xlfn.NORM.S.INV(RAND()))</f>
        <v/>
      </c>
    </row>
    <row r="7074">
      <c r="F7074">
        <f>F7073+1</f>
        <v/>
      </c>
      <c r="G7074" s="92">
        <f>EXP($C$12+$C$8*_xlfn.NORM.S.INV(RAND()))</f>
        <v/>
      </c>
    </row>
    <row r="7075">
      <c r="F7075">
        <f>F7074+1</f>
        <v/>
      </c>
      <c r="G7075" s="92">
        <f>EXP($C$12+$C$8*_xlfn.NORM.S.INV(RAND()))</f>
        <v/>
      </c>
    </row>
    <row r="7076">
      <c r="F7076">
        <f>F7075+1</f>
        <v/>
      </c>
      <c r="G7076" s="92">
        <f>EXP($C$12+$C$8*_xlfn.NORM.S.INV(RAND()))</f>
        <v/>
      </c>
    </row>
    <row r="7077">
      <c r="F7077">
        <f>F7076+1</f>
        <v/>
      </c>
      <c r="G7077" s="92">
        <f>EXP($C$12+$C$8*_xlfn.NORM.S.INV(RAND()))</f>
        <v/>
      </c>
    </row>
    <row r="7078">
      <c r="F7078">
        <f>F7077+1</f>
        <v/>
      </c>
      <c r="G7078" s="92">
        <f>EXP($C$12+$C$8*_xlfn.NORM.S.INV(RAND()))</f>
        <v/>
      </c>
    </row>
    <row r="7079">
      <c r="F7079">
        <f>F7078+1</f>
        <v/>
      </c>
      <c r="G7079" s="92">
        <f>EXP($C$12+$C$8*_xlfn.NORM.S.INV(RAND()))</f>
        <v/>
      </c>
    </row>
    <row r="7080">
      <c r="F7080">
        <f>F7079+1</f>
        <v/>
      </c>
      <c r="G7080" s="92">
        <f>EXP($C$12+$C$8*_xlfn.NORM.S.INV(RAND()))</f>
        <v/>
      </c>
    </row>
    <row r="7081">
      <c r="F7081">
        <f>F7080+1</f>
        <v/>
      </c>
      <c r="G7081" s="92">
        <f>EXP($C$12+$C$8*_xlfn.NORM.S.INV(RAND()))</f>
        <v/>
      </c>
    </row>
    <row r="7082">
      <c r="F7082">
        <f>F7081+1</f>
        <v/>
      </c>
      <c r="G7082" s="92">
        <f>EXP($C$12+$C$8*_xlfn.NORM.S.INV(RAND()))</f>
        <v/>
      </c>
    </row>
    <row r="7083">
      <c r="F7083">
        <f>F7082+1</f>
        <v/>
      </c>
      <c r="G7083" s="92">
        <f>EXP($C$12+$C$8*_xlfn.NORM.S.INV(RAND()))</f>
        <v/>
      </c>
    </row>
    <row r="7084">
      <c r="F7084">
        <f>F7083+1</f>
        <v/>
      </c>
      <c r="G7084" s="92">
        <f>EXP($C$12+$C$8*_xlfn.NORM.S.INV(RAND()))</f>
        <v/>
      </c>
    </row>
    <row r="7085">
      <c r="F7085">
        <f>F7084+1</f>
        <v/>
      </c>
      <c r="G7085" s="92">
        <f>EXP($C$12+$C$8*_xlfn.NORM.S.INV(RAND()))</f>
        <v/>
      </c>
    </row>
    <row r="7086">
      <c r="F7086">
        <f>F7085+1</f>
        <v/>
      </c>
      <c r="G7086" s="92">
        <f>EXP($C$12+$C$8*_xlfn.NORM.S.INV(RAND()))</f>
        <v/>
      </c>
    </row>
    <row r="7087">
      <c r="F7087">
        <f>F7086+1</f>
        <v/>
      </c>
      <c r="G7087" s="92">
        <f>EXP($C$12+$C$8*_xlfn.NORM.S.INV(RAND()))</f>
        <v/>
      </c>
    </row>
    <row r="7088">
      <c r="F7088">
        <f>F7087+1</f>
        <v/>
      </c>
      <c r="G7088" s="92">
        <f>EXP($C$12+$C$8*_xlfn.NORM.S.INV(RAND()))</f>
        <v/>
      </c>
    </row>
    <row r="7089">
      <c r="F7089">
        <f>F7088+1</f>
        <v/>
      </c>
      <c r="G7089" s="92">
        <f>EXP($C$12+$C$8*_xlfn.NORM.S.INV(RAND()))</f>
        <v/>
      </c>
    </row>
    <row r="7090">
      <c r="F7090">
        <f>F7089+1</f>
        <v/>
      </c>
      <c r="G7090" s="92">
        <f>EXP($C$12+$C$8*_xlfn.NORM.S.INV(RAND()))</f>
        <v/>
      </c>
    </row>
    <row r="7091">
      <c r="F7091">
        <f>F7090+1</f>
        <v/>
      </c>
      <c r="G7091" s="92">
        <f>EXP($C$12+$C$8*_xlfn.NORM.S.INV(RAND()))</f>
        <v/>
      </c>
    </row>
    <row r="7092">
      <c r="F7092">
        <f>F7091+1</f>
        <v/>
      </c>
      <c r="G7092" s="92">
        <f>EXP($C$12+$C$8*_xlfn.NORM.S.INV(RAND()))</f>
        <v/>
      </c>
    </row>
    <row r="7093">
      <c r="F7093">
        <f>F7092+1</f>
        <v/>
      </c>
      <c r="G7093" s="92">
        <f>EXP($C$12+$C$8*_xlfn.NORM.S.INV(RAND()))</f>
        <v/>
      </c>
    </row>
    <row r="7094">
      <c r="F7094">
        <f>F7093+1</f>
        <v/>
      </c>
      <c r="G7094" s="92">
        <f>EXP($C$12+$C$8*_xlfn.NORM.S.INV(RAND()))</f>
        <v/>
      </c>
    </row>
    <row r="7095">
      <c r="F7095">
        <f>F7094+1</f>
        <v/>
      </c>
      <c r="G7095" s="92">
        <f>EXP($C$12+$C$8*_xlfn.NORM.S.INV(RAND()))</f>
        <v/>
      </c>
    </row>
    <row r="7096">
      <c r="F7096">
        <f>F7095+1</f>
        <v/>
      </c>
      <c r="G7096" s="92">
        <f>EXP($C$12+$C$8*_xlfn.NORM.S.INV(RAND()))</f>
        <v/>
      </c>
    </row>
    <row r="7097">
      <c r="F7097">
        <f>F7096+1</f>
        <v/>
      </c>
      <c r="G7097" s="92">
        <f>EXP($C$12+$C$8*_xlfn.NORM.S.INV(RAND()))</f>
        <v/>
      </c>
    </row>
    <row r="7098">
      <c r="F7098">
        <f>F7097+1</f>
        <v/>
      </c>
      <c r="G7098" s="92">
        <f>EXP($C$12+$C$8*_xlfn.NORM.S.INV(RAND()))</f>
        <v/>
      </c>
    </row>
    <row r="7099">
      <c r="F7099">
        <f>F7098+1</f>
        <v/>
      </c>
      <c r="G7099" s="92">
        <f>EXP($C$12+$C$8*_xlfn.NORM.S.INV(RAND()))</f>
        <v/>
      </c>
    </row>
    <row r="7100">
      <c r="F7100">
        <f>F7099+1</f>
        <v/>
      </c>
      <c r="G7100" s="92">
        <f>EXP($C$12+$C$8*_xlfn.NORM.S.INV(RAND()))</f>
        <v/>
      </c>
    </row>
    <row r="7101">
      <c r="F7101">
        <f>F7100+1</f>
        <v/>
      </c>
      <c r="G7101" s="92">
        <f>EXP($C$12+$C$8*_xlfn.NORM.S.INV(RAND()))</f>
        <v/>
      </c>
    </row>
    <row r="7102">
      <c r="F7102">
        <f>F7101+1</f>
        <v/>
      </c>
      <c r="G7102" s="92">
        <f>EXP($C$12+$C$8*_xlfn.NORM.S.INV(RAND()))</f>
        <v/>
      </c>
    </row>
    <row r="7103">
      <c r="F7103">
        <f>F7102+1</f>
        <v/>
      </c>
      <c r="G7103" s="92">
        <f>EXP($C$12+$C$8*_xlfn.NORM.S.INV(RAND()))</f>
        <v/>
      </c>
    </row>
    <row r="7104">
      <c r="F7104">
        <f>F7103+1</f>
        <v/>
      </c>
      <c r="G7104" s="92">
        <f>EXP($C$12+$C$8*_xlfn.NORM.S.INV(RAND()))</f>
        <v/>
      </c>
    </row>
    <row r="7105">
      <c r="F7105">
        <f>F7104+1</f>
        <v/>
      </c>
      <c r="G7105" s="92">
        <f>EXP($C$12+$C$8*_xlfn.NORM.S.INV(RAND()))</f>
        <v/>
      </c>
    </row>
    <row r="7106">
      <c r="F7106">
        <f>F7105+1</f>
        <v/>
      </c>
      <c r="G7106" s="92">
        <f>EXP($C$12+$C$8*_xlfn.NORM.S.INV(RAND()))</f>
        <v/>
      </c>
    </row>
    <row r="7107">
      <c r="F7107">
        <f>F7106+1</f>
        <v/>
      </c>
      <c r="G7107" s="92">
        <f>EXP($C$12+$C$8*_xlfn.NORM.S.INV(RAND()))</f>
        <v/>
      </c>
    </row>
    <row r="7108">
      <c r="F7108">
        <f>F7107+1</f>
        <v/>
      </c>
      <c r="G7108" s="92">
        <f>EXP($C$12+$C$8*_xlfn.NORM.S.INV(RAND()))</f>
        <v/>
      </c>
    </row>
    <row r="7109">
      <c r="F7109">
        <f>F7108+1</f>
        <v/>
      </c>
      <c r="G7109" s="92">
        <f>EXP($C$12+$C$8*_xlfn.NORM.S.INV(RAND()))</f>
        <v/>
      </c>
    </row>
    <row r="7110">
      <c r="F7110">
        <f>F7109+1</f>
        <v/>
      </c>
      <c r="G7110" s="92">
        <f>EXP($C$12+$C$8*_xlfn.NORM.S.INV(RAND()))</f>
        <v/>
      </c>
    </row>
    <row r="7111">
      <c r="F7111">
        <f>F7110+1</f>
        <v/>
      </c>
      <c r="G7111" s="92">
        <f>EXP($C$12+$C$8*_xlfn.NORM.S.INV(RAND()))</f>
        <v/>
      </c>
    </row>
    <row r="7112">
      <c r="F7112">
        <f>F7111+1</f>
        <v/>
      </c>
      <c r="G7112" s="92">
        <f>EXP($C$12+$C$8*_xlfn.NORM.S.INV(RAND()))</f>
        <v/>
      </c>
    </row>
    <row r="7113">
      <c r="F7113">
        <f>F7112+1</f>
        <v/>
      </c>
      <c r="G7113" s="92">
        <f>EXP($C$12+$C$8*_xlfn.NORM.S.INV(RAND()))</f>
        <v/>
      </c>
    </row>
    <row r="7114">
      <c r="F7114">
        <f>F7113+1</f>
        <v/>
      </c>
      <c r="G7114" s="92">
        <f>EXP($C$12+$C$8*_xlfn.NORM.S.INV(RAND()))</f>
        <v/>
      </c>
    </row>
    <row r="7115">
      <c r="F7115">
        <f>F7114+1</f>
        <v/>
      </c>
      <c r="G7115" s="92">
        <f>EXP($C$12+$C$8*_xlfn.NORM.S.INV(RAND()))</f>
        <v/>
      </c>
    </row>
    <row r="7116">
      <c r="F7116">
        <f>F7115+1</f>
        <v/>
      </c>
      <c r="G7116" s="92">
        <f>EXP($C$12+$C$8*_xlfn.NORM.S.INV(RAND()))</f>
        <v/>
      </c>
    </row>
    <row r="7117">
      <c r="F7117">
        <f>F7116+1</f>
        <v/>
      </c>
      <c r="G7117" s="92">
        <f>EXP($C$12+$C$8*_xlfn.NORM.S.INV(RAND()))</f>
        <v/>
      </c>
    </row>
    <row r="7118">
      <c r="F7118">
        <f>F7117+1</f>
        <v/>
      </c>
      <c r="G7118" s="92">
        <f>EXP($C$12+$C$8*_xlfn.NORM.S.INV(RAND()))</f>
        <v/>
      </c>
    </row>
    <row r="7119">
      <c r="F7119">
        <f>F7118+1</f>
        <v/>
      </c>
      <c r="G7119" s="92">
        <f>EXP($C$12+$C$8*_xlfn.NORM.S.INV(RAND()))</f>
        <v/>
      </c>
    </row>
    <row r="7120">
      <c r="F7120">
        <f>F7119+1</f>
        <v/>
      </c>
      <c r="G7120" s="92">
        <f>EXP($C$12+$C$8*_xlfn.NORM.S.INV(RAND()))</f>
        <v/>
      </c>
    </row>
    <row r="7121">
      <c r="F7121">
        <f>F7120+1</f>
        <v/>
      </c>
      <c r="G7121" s="92">
        <f>EXP($C$12+$C$8*_xlfn.NORM.S.INV(RAND()))</f>
        <v/>
      </c>
    </row>
    <row r="7122">
      <c r="F7122">
        <f>F7121+1</f>
        <v/>
      </c>
      <c r="G7122" s="92">
        <f>EXP($C$12+$C$8*_xlfn.NORM.S.INV(RAND()))</f>
        <v/>
      </c>
    </row>
    <row r="7123">
      <c r="F7123">
        <f>F7122+1</f>
        <v/>
      </c>
      <c r="G7123" s="92">
        <f>EXP($C$12+$C$8*_xlfn.NORM.S.INV(RAND()))</f>
        <v/>
      </c>
    </row>
    <row r="7124">
      <c r="F7124">
        <f>F7123+1</f>
        <v/>
      </c>
      <c r="G7124" s="92">
        <f>EXP($C$12+$C$8*_xlfn.NORM.S.INV(RAND()))</f>
        <v/>
      </c>
    </row>
    <row r="7125">
      <c r="F7125">
        <f>F7124+1</f>
        <v/>
      </c>
      <c r="G7125" s="92">
        <f>EXP($C$12+$C$8*_xlfn.NORM.S.INV(RAND()))</f>
        <v/>
      </c>
    </row>
    <row r="7126">
      <c r="F7126">
        <f>F7125+1</f>
        <v/>
      </c>
      <c r="G7126" s="92">
        <f>EXP($C$12+$C$8*_xlfn.NORM.S.INV(RAND()))</f>
        <v/>
      </c>
    </row>
    <row r="7127">
      <c r="F7127">
        <f>F7126+1</f>
        <v/>
      </c>
      <c r="G7127" s="92">
        <f>EXP($C$12+$C$8*_xlfn.NORM.S.INV(RAND()))</f>
        <v/>
      </c>
    </row>
    <row r="7128">
      <c r="F7128">
        <f>F7127+1</f>
        <v/>
      </c>
      <c r="G7128" s="92">
        <f>EXP($C$12+$C$8*_xlfn.NORM.S.INV(RAND()))</f>
        <v/>
      </c>
    </row>
    <row r="7129">
      <c r="F7129">
        <f>F7128+1</f>
        <v/>
      </c>
      <c r="G7129" s="92">
        <f>EXP($C$12+$C$8*_xlfn.NORM.S.INV(RAND()))</f>
        <v/>
      </c>
    </row>
    <row r="7130">
      <c r="F7130">
        <f>F7129+1</f>
        <v/>
      </c>
      <c r="G7130" s="92">
        <f>EXP($C$12+$C$8*_xlfn.NORM.S.INV(RAND()))</f>
        <v/>
      </c>
    </row>
    <row r="7131">
      <c r="F7131">
        <f>F7130+1</f>
        <v/>
      </c>
      <c r="G7131" s="92">
        <f>EXP($C$12+$C$8*_xlfn.NORM.S.INV(RAND()))</f>
        <v/>
      </c>
    </row>
    <row r="7132">
      <c r="F7132">
        <f>F7131+1</f>
        <v/>
      </c>
      <c r="G7132" s="92">
        <f>EXP($C$12+$C$8*_xlfn.NORM.S.INV(RAND()))</f>
        <v/>
      </c>
    </row>
    <row r="7133">
      <c r="F7133">
        <f>F7132+1</f>
        <v/>
      </c>
      <c r="G7133" s="92">
        <f>EXP($C$12+$C$8*_xlfn.NORM.S.INV(RAND()))</f>
        <v/>
      </c>
    </row>
    <row r="7134">
      <c r="F7134">
        <f>F7133+1</f>
        <v/>
      </c>
      <c r="G7134" s="92">
        <f>EXP($C$12+$C$8*_xlfn.NORM.S.INV(RAND()))</f>
        <v/>
      </c>
    </row>
    <row r="7135">
      <c r="F7135">
        <f>F7134+1</f>
        <v/>
      </c>
      <c r="G7135" s="92">
        <f>EXP($C$12+$C$8*_xlfn.NORM.S.INV(RAND()))</f>
        <v/>
      </c>
    </row>
    <row r="7136">
      <c r="F7136">
        <f>F7135+1</f>
        <v/>
      </c>
      <c r="G7136" s="92">
        <f>EXP($C$12+$C$8*_xlfn.NORM.S.INV(RAND()))</f>
        <v/>
      </c>
    </row>
    <row r="7137">
      <c r="F7137">
        <f>F7136+1</f>
        <v/>
      </c>
      <c r="G7137" s="92">
        <f>EXP($C$12+$C$8*_xlfn.NORM.S.INV(RAND()))</f>
        <v/>
      </c>
    </row>
    <row r="7138">
      <c r="F7138">
        <f>F7137+1</f>
        <v/>
      </c>
      <c r="G7138" s="92">
        <f>EXP($C$12+$C$8*_xlfn.NORM.S.INV(RAND()))</f>
        <v/>
      </c>
    </row>
    <row r="7139">
      <c r="F7139">
        <f>F7138+1</f>
        <v/>
      </c>
      <c r="G7139" s="92">
        <f>EXP($C$12+$C$8*_xlfn.NORM.S.INV(RAND()))</f>
        <v/>
      </c>
    </row>
    <row r="7140">
      <c r="F7140">
        <f>F7139+1</f>
        <v/>
      </c>
      <c r="G7140" s="92">
        <f>EXP($C$12+$C$8*_xlfn.NORM.S.INV(RAND()))</f>
        <v/>
      </c>
    </row>
    <row r="7141">
      <c r="F7141">
        <f>F7140+1</f>
        <v/>
      </c>
      <c r="G7141" s="92">
        <f>EXP($C$12+$C$8*_xlfn.NORM.S.INV(RAND()))</f>
        <v/>
      </c>
    </row>
    <row r="7142">
      <c r="F7142">
        <f>F7141+1</f>
        <v/>
      </c>
      <c r="G7142" s="92">
        <f>EXP($C$12+$C$8*_xlfn.NORM.S.INV(RAND()))</f>
        <v/>
      </c>
    </row>
    <row r="7143">
      <c r="F7143">
        <f>F7142+1</f>
        <v/>
      </c>
      <c r="G7143" s="92">
        <f>EXP($C$12+$C$8*_xlfn.NORM.S.INV(RAND()))</f>
        <v/>
      </c>
    </row>
    <row r="7144">
      <c r="F7144">
        <f>F7143+1</f>
        <v/>
      </c>
      <c r="G7144" s="92">
        <f>EXP($C$12+$C$8*_xlfn.NORM.S.INV(RAND()))</f>
        <v/>
      </c>
    </row>
    <row r="7145">
      <c r="F7145">
        <f>F7144+1</f>
        <v/>
      </c>
      <c r="G7145" s="92">
        <f>EXP($C$12+$C$8*_xlfn.NORM.S.INV(RAND()))</f>
        <v/>
      </c>
    </row>
    <row r="7146">
      <c r="F7146">
        <f>F7145+1</f>
        <v/>
      </c>
      <c r="G7146" s="92">
        <f>EXP($C$12+$C$8*_xlfn.NORM.S.INV(RAND()))</f>
        <v/>
      </c>
    </row>
    <row r="7147">
      <c r="F7147">
        <f>F7146+1</f>
        <v/>
      </c>
      <c r="G7147" s="92">
        <f>EXP($C$12+$C$8*_xlfn.NORM.S.INV(RAND()))</f>
        <v/>
      </c>
    </row>
    <row r="7148">
      <c r="F7148">
        <f>F7147+1</f>
        <v/>
      </c>
      <c r="G7148" s="92">
        <f>EXP($C$12+$C$8*_xlfn.NORM.S.INV(RAND()))</f>
        <v/>
      </c>
    </row>
    <row r="7149">
      <c r="F7149">
        <f>F7148+1</f>
        <v/>
      </c>
      <c r="G7149" s="92">
        <f>EXP($C$12+$C$8*_xlfn.NORM.S.INV(RAND()))</f>
        <v/>
      </c>
    </row>
    <row r="7150">
      <c r="F7150">
        <f>F7149+1</f>
        <v/>
      </c>
      <c r="G7150" s="92">
        <f>EXP($C$12+$C$8*_xlfn.NORM.S.INV(RAND()))</f>
        <v/>
      </c>
    </row>
    <row r="7151">
      <c r="F7151">
        <f>F7150+1</f>
        <v/>
      </c>
      <c r="G7151" s="92">
        <f>EXP($C$12+$C$8*_xlfn.NORM.S.INV(RAND()))</f>
        <v/>
      </c>
    </row>
    <row r="7152">
      <c r="F7152">
        <f>F7151+1</f>
        <v/>
      </c>
      <c r="G7152" s="92">
        <f>EXP($C$12+$C$8*_xlfn.NORM.S.INV(RAND()))</f>
        <v/>
      </c>
    </row>
    <row r="7153">
      <c r="F7153">
        <f>F7152+1</f>
        <v/>
      </c>
      <c r="G7153" s="92">
        <f>EXP($C$12+$C$8*_xlfn.NORM.S.INV(RAND()))</f>
        <v/>
      </c>
    </row>
    <row r="7154">
      <c r="F7154">
        <f>F7153+1</f>
        <v/>
      </c>
      <c r="G7154" s="92">
        <f>EXP($C$12+$C$8*_xlfn.NORM.S.INV(RAND()))</f>
        <v/>
      </c>
    </row>
    <row r="7155">
      <c r="F7155">
        <f>F7154+1</f>
        <v/>
      </c>
      <c r="G7155" s="92">
        <f>EXP($C$12+$C$8*_xlfn.NORM.S.INV(RAND()))</f>
        <v/>
      </c>
    </row>
    <row r="7156">
      <c r="F7156">
        <f>F7155+1</f>
        <v/>
      </c>
      <c r="G7156" s="92">
        <f>EXP($C$12+$C$8*_xlfn.NORM.S.INV(RAND()))</f>
        <v/>
      </c>
    </row>
    <row r="7157">
      <c r="F7157">
        <f>F7156+1</f>
        <v/>
      </c>
      <c r="G7157" s="92">
        <f>EXP($C$12+$C$8*_xlfn.NORM.S.INV(RAND()))</f>
        <v/>
      </c>
    </row>
    <row r="7158">
      <c r="F7158">
        <f>F7157+1</f>
        <v/>
      </c>
      <c r="G7158" s="92">
        <f>EXP($C$12+$C$8*_xlfn.NORM.S.INV(RAND()))</f>
        <v/>
      </c>
    </row>
    <row r="7159">
      <c r="F7159">
        <f>F7158+1</f>
        <v/>
      </c>
      <c r="G7159" s="92">
        <f>EXP($C$12+$C$8*_xlfn.NORM.S.INV(RAND()))</f>
        <v/>
      </c>
    </row>
    <row r="7160">
      <c r="F7160">
        <f>F7159+1</f>
        <v/>
      </c>
      <c r="G7160" s="92">
        <f>EXP($C$12+$C$8*_xlfn.NORM.S.INV(RAND()))</f>
        <v/>
      </c>
    </row>
    <row r="7161">
      <c r="F7161">
        <f>F7160+1</f>
        <v/>
      </c>
      <c r="G7161" s="92">
        <f>EXP($C$12+$C$8*_xlfn.NORM.S.INV(RAND()))</f>
        <v/>
      </c>
    </row>
    <row r="7162">
      <c r="F7162">
        <f>F7161+1</f>
        <v/>
      </c>
      <c r="G7162" s="92">
        <f>EXP($C$12+$C$8*_xlfn.NORM.S.INV(RAND()))</f>
        <v/>
      </c>
    </row>
    <row r="7163">
      <c r="F7163">
        <f>F7162+1</f>
        <v/>
      </c>
      <c r="G7163" s="92">
        <f>EXP($C$12+$C$8*_xlfn.NORM.S.INV(RAND()))</f>
        <v/>
      </c>
    </row>
    <row r="7164">
      <c r="F7164">
        <f>F7163+1</f>
        <v/>
      </c>
      <c r="G7164" s="92">
        <f>EXP($C$12+$C$8*_xlfn.NORM.S.INV(RAND()))</f>
        <v/>
      </c>
    </row>
    <row r="7165">
      <c r="F7165">
        <f>F7164+1</f>
        <v/>
      </c>
      <c r="G7165" s="92">
        <f>EXP($C$12+$C$8*_xlfn.NORM.S.INV(RAND()))</f>
        <v/>
      </c>
    </row>
    <row r="7166">
      <c r="F7166">
        <f>F7165+1</f>
        <v/>
      </c>
      <c r="G7166" s="92">
        <f>EXP($C$12+$C$8*_xlfn.NORM.S.INV(RAND()))</f>
        <v/>
      </c>
    </row>
    <row r="7167">
      <c r="F7167">
        <f>F7166+1</f>
        <v/>
      </c>
      <c r="G7167" s="92">
        <f>EXP($C$12+$C$8*_xlfn.NORM.S.INV(RAND()))</f>
        <v/>
      </c>
    </row>
    <row r="7168">
      <c r="F7168">
        <f>F7167+1</f>
        <v/>
      </c>
      <c r="G7168" s="92">
        <f>EXP($C$12+$C$8*_xlfn.NORM.S.INV(RAND()))</f>
        <v/>
      </c>
    </row>
    <row r="7169">
      <c r="F7169">
        <f>F7168+1</f>
        <v/>
      </c>
      <c r="G7169" s="92">
        <f>EXP($C$12+$C$8*_xlfn.NORM.S.INV(RAND()))</f>
        <v/>
      </c>
    </row>
    <row r="7170">
      <c r="F7170">
        <f>F7169+1</f>
        <v/>
      </c>
      <c r="G7170" s="92">
        <f>EXP($C$12+$C$8*_xlfn.NORM.S.INV(RAND()))</f>
        <v/>
      </c>
    </row>
    <row r="7171">
      <c r="F7171">
        <f>F7170+1</f>
        <v/>
      </c>
      <c r="G7171" s="92">
        <f>EXP($C$12+$C$8*_xlfn.NORM.S.INV(RAND()))</f>
        <v/>
      </c>
    </row>
    <row r="7172">
      <c r="F7172">
        <f>F7171+1</f>
        <v/>
      </c>
      <c r="G7172" s="92">
        <f>EXP($C$12+$C$8*_xlfn.NORM.S.INV(RAND()))</f>
        <v/>
      </c>
    </row>
    <row r="7173">
      <c r="F7173">
        <f>F7172+1</f>
        <v/>
      </c>
      <c r="G7173" s="92">
        <f>EXP($C$12+$C$8*_xlfn.NORM.S.INV(RAND()))</f>
        <v/>
      </c>
    </row>
    <row r="7174">
      <c r="F7174">
        <f>F7173+1</f>
        <v/>
      </c>
      <c r="G7174" s="92">
        <f>EXP($C$12+$C$8*_xlfn.NORM.S.INV(RAND()))</f>
        <v/>
      </c>
    </row>
    <row r="7175">
      <c r="F7175">
        <f>F7174+1</f>
        <v/>
      </c>
      <c r="G7175" s="92">
        <f>EXP($C$12+$C$8*_xlfn.NORM.S.INV(RAND()))</f>
        <v/>
      </c>
    </row>
    <row r="7176">
      <c r="F7176">
        <f>F7175+1</f>
        <v/>
      </c>
      <c r="G7176" s="92">
        <f>EXP($C$12+$C$8*_xlfn.NORM.S.INV(RAND()))</f>
        <v/>
      </c>
    </row>
    <row r="7177">
      <c r="F7177">
        <f>F7176+1</f>
        <v/>
      </c>
      <c r="G7177" s="92">
        <f>EXP($C$12+$C$8*_xlfn.NORM.S.INV(RAND()))</f>
        <v/>
      </c>
    </row>
    <row r="7178">
      <c r="F7178">
        <f>F7177+1</f>
        <v/>
      </c>
      <c r="G7178" s="92">
        <f>EXP($C$12+$C$8*_xlfn.NORM.S.INV(RAND()))</f>
        <v/>
      </c>
    </row>
    <row r="7179">
      <c r="F7179">
        <f>F7178+1</f>
        <v/>
      </c>
      <c r="G7179" s="92">
        <f>EXP($C$12+$C$8*_xlfn.NORM.S.INV(RAND()))</f>
        <v/>
      </c>
    </row>
    <row r="7180">
      <c r="F7180">
        <f>F7179+1</f>
        <v/>
      </c>
      <c r="G7180" s="92">
        <f>EXP($C$12+$C$8*_xlfn.NORM.S.INV(RAND()))</f>
        <v/>
      </c>
    </row>
    <row r="7181">
      <c r="F7181">
        <f>F7180+1</f>
        <v/>
      </c>
      <c r="G7181" s="92">
        <f>EXP($C$12+$C$8*_xlfn.NORM.S.INV(RAND()))</f>
        <v/>
      </c>
    </row>
    <row r="7182">
      <c r="F7182">
        <f>F7181+1</f>
        <v/>
      </c>
      <c r="G7182" s="92">
        <f>EXP($C$12+$C$8*_xlfn.NORM.S.INV(RAND()))</f>
        <v/>
      </c>
    </row>
    <row r="7183">
      <c r="F7183">
        <f>F7182+1</f>
        <v/>
      </c>
      <c r="G7183" s="92">
        <f>EXP($C$12+$C$8*_xlfn.NORM.S.INV(RAND()))</f>
        <v/>
      </c>
    </row>
    <row r="7184">
      <c r="F7184">
        <f>F7183+1</f>
        <v/>
      </c>
      <c r="G7184" s="92">
        <f>EXP($C$12+$C$8*_xlfn.NORM.S.INV(RAND()))</f>
        <v/>
      </c>
    </row>
    <row r="7185">
      <c r="F7185">
        <f>F7184+1</f>
        <v/>
      </c>
      <c r="G7185" s="92">
        <f>EXP($C$12+$C$8*_xlfn.NORM.S.INV(RAND()))</f>
        <v/>
      </c>
    </row>
    <row r="7186">
      <c r="F7186">
        <f>F7185+1</f>
        <v/>
      </c>
      <c r="G7186" s="92">
        <f>EXP($C$12+$C$8*_xlfn.NORM.S.INV(RAND()))</f>
        <v/>
      </c>
    </row>
    <row r="7187">
      <c r="F7187">
        <f>F7186+1</f>
        <v/>
      </c>
      <c r="G7187" s="92">
        <f>EXP($C$12+$C$8*_xlfn.NORM.S.INV(RAND()))</f>
        <v/>
      </c>
    </row>
    <row r="7188">
      <c r="F7188">
        <f>F7187+1</f>
        <v/>
      </c>
      <c r="G7188" s="92">
        <f>EXP($C$12+$C$8*_xlfn.NORM.S.INV(RAND()))</f>
        <v/>
      </c>
    </row>
    <row r="7189">
      <c r="F7189">
        <f>F7188+1</f>
        <v/>
      </c>
      <c r="G7189" s="92">
        <f>EXP($C$12+$C$8*_xlfn.NORM.S.INV(RAND()))</f>
        <v/>
      </c>
    </row>
    <row r="7190">
      <c r="F7190">
        <f>F7189+1</f>
        <v/>
      </c>
      <c r="G7190" s="92">
        <f>EXP($C$12+$C$8*_xlfn.NORM.S.INV(RAND()))</f>
        <v/>
      </c>
    </row>
    <row r="7191">
      <c r="F7191">
        <f>F7190+1</f>
        <v/>
      </c>
      <c r="G7191" s="92">
        <f>EXP($C$12+$C$8*_xlfn.NORM.S.INV(RAND()))</f>
        <v/>
      </c>
    </row>
    <row r="7192">
      <c r="F7192">
        <f>F7191+1</f>
        <v/>
      </c>
      <c r="G7192" s="92">
        <f>EXP($C$12+$C$8*_xlfn.NORM.S.INV(RAND()))</f>
        <v/>
      </c>
    </row>
    <row r="7193">
      <c r="F7193">
        <f>F7192+1</f>
        <v/>
      </c>
      <c r="G7193" s="92">
        <f>EXP($C$12+$C$8*_xlfn.NORM.S.INV(RAND()))</f>
        <v/>
      </c>
    </row>
    <row r="7194">
      <c r="F7194">
        <f>F7193+1</f>
        <v/>
      </c>
      <c r="G7194" s="92">
        <f>EXP($C$12+$C$8*_xlfn.NORM.S.INV(RAND()))</f>
        <v/>
      </c>
    </row>
    <row r="7195">
      <c r="F7195">
        <f>F7194+1</f>
        <v/>
      </c>
      <c r="G7195" s="92">
        <f>EXP($C$12+$C$8*_xlfn.NORM.S.INV(RAND()))</f>
        <v/>
      </c>
    </row>
    <row r="7196">
      <c r="F7196">
        <f>F7195+1</f>
        <v/>
      </c>
      <c r="G7196" s="92">
        <f>EXP($C$12+$C$8*_xlfn.NORM.S.INV(RAND()))</f>
        <v/>
      </c>
    </row>
    <row r="7197">
      <c r="F7197">
        <f>F7196+1</f>
        <v/>
      </c>
      <c r="G7197" s="92">
        <f>EXP($C$12+$C$8*_xlfn.NORM.S.INV(RAND()))</f>
        <v/>
      </c>
    </row>
    <row r="7198">
      <c r="F7198">
        <f>F7197+1</f>
        <v/>
      </c>
      <c r="G7198" s="92">
        <f>EXP($C$12+$C$8*_xlfn.NORM.S.INV(RAND()))</f>
        <v/>
      </c>
    </row>
    <row r="7199">
      <c r="F7199">
        <f>F7198+1</f>
        <v/>
      </c>
      <c r="G7199" s="92">
        <f>EXP($C$12+$C$8*_xlfn.NORM.S.INV(RAND()))</f>
        <v/>
      </c>
    </row>
    <row r="7200">
      <c r="F7200">
        <f>F7199+1</f>
        <v/>
      </c>
      <c r="G7200" s="92">
        <f>EXP($C$12+$C$8*_xlfn.NORM.S.INV(RAND()))</f>
        <v/>
      </c>
    </row>
    <row r="7201">
      <c r="F7201">
        <f>F7200+1</f>
        <v/>
      </c>
      <c r="G7201" s="92">
        <f>EXP($C$12+$C$8*_xlfn.NORM.S.INV(RAND()))</f>
        <v/>
      </c>
    </row>
    <row r="7202">
      <c r="F7202">
        <f>F7201+1</f>
        <v/>
      </c>
      <c r="G7202" s="92">
        <f>EXP($C$12+$C$8*_xlfn.NORM.S.INV(RAND()))</f>
        <v/>
      </c>
    </row>
    <row r="7203">
      <c r="F7203">
        <f>F7202+1</f>
        <v/>
      </c>
      <c r="G7203" s="92">
        <f>EXP($C$12+$C$8*_xlfn.NORM.S.INV(RAND()))</f>
        <v/>
      </c>
    </row>
    <row r="7204">
      <c r="F7204">
        <f>F7203+1</f>
        <v/>
      </c>
      <c r="G7204" s="92">
        <f>EXP($C$12+$C$8*_xlfn.NORM.S.INV(RAND()))</f>
        <v/>
      </c>
    </row>
    <row r="7205">
      <c r="F7205">
        <f>F7204+1</f>
        <v/>
      </c>
      <c r="G7205" s="92">
        <f>EXP($C$12+$C$8*_xlfn.NORM.S.INV(RAND()))</f>
        <v/>
      </c>
    </row>
    <row r="7206">
      <c r="F7206">
        <f>F7205+1</f>
        <v/>
      </c>
      <c r="G7206" s="92">
        <f>EXP($C$12+$C$8*_xlfn.NORM.S.INV(RAND()))</f>
        <v/>
      </c>
    </row>
    <row r="7207">
      <c r="F7207">
        <f>F7206+1</f>
        <v/>
      </c>
      <c r="G7207" s="92">
        <f>EXP($C$12+$C$8*_xlfn.NORM.S.INV(RAND()))</f>
        <v/>
      </c>
    </row>
    <row r="7208">
      <c r="F7208">
        <f>F7207+1</f>
        <v/>
      </c>
      <c r="G7208" s="92">
        <f>EXP($C$12+$C$8*_xlfn.NORM.S.INV(RAND()))</f>
        <v/>
      </c>
    </row>
    <row r="7209">
      <c r="F7209">
        <f>F7208+1</f>
        <v/>
      </c>
      <c r="G7209" s="92">
        <f>EXP($C$12+$C$8*_xlfn.NORM.S.INV(RAND()))</f>
        <v/>
      </c>
    </row>
    <row r="7210">
      <c r="F7210">
        <f>F7209+1</f>
        <v/>
      </c>
      <c r="G7210" s="92">
        <f>EXP($C$12+$C$8*_xlfn.NORM.S.INV(RAND()))</f>
        <v/>
      </c>
    </row>
    <row r="7211">
      <c r="F7211">
        <f>F7210+1</f>
        <v/>
      </c>
      <c r="G7211" s="92">
        <f>EXP($C$12+$C$8*_xlfn.NORM.S.INV(RAND()))</f>
        <v/>
      </c>
    </row>
    <row r="7212">
      <c r="F7212">
        <f>F7211+1</f>
        <v/>
      </c>
      <c r="G7212" s="92">
        <f>EXP($C$12+$C$8*_xlfn.NORM.S.INV(RAND()))</f>
        <v/>
      </c>
    </row>
    <row r="7213">
      <c r="F7213">
        <f>F7212+1</f>
        <v/>
      </c>
      <c r="G7213" s="92">
        <f>EXP($C$12+$C$8*_xlfn.NORM.S.INV(RAND()))</f>
        <v/>
      </c>
    </row>
    <row r="7214">
      <c r="F7214">
        <f>F7213+1</f>
        <v/>
      </c>
      <c r="G7214" s="92">
        <f>EXP($C$12+$C$8*_xlfn.NORM.S.INV(RAND()))</f>
        <v/>
      </c>
    </row>
    <row r="7215">
      <c r="F7215">
        <f>F7214+1</f>
        <v/>
      </c>
      <c r="G7215" s="92">
        <f>EXP($C$12+$C$8*_xlfn.NORM.S.INV(RAND()))</f>
        <v/>
      </c>
    </row>
    <row r="7216">
      <c r="F7216">
        <f>F7215+1</f>
        <v/>
      </c>
      <c r="G7216" s="92">
        <f>EXP($C$12+$C$8*_xlfn.NORM.S.INV(RAND()))</f>
        <v/>
      </c>
    </row>
    <row r="7217">
      <c r="F7217">
        <f>F7216+1</f>
        <v/>
      </c>
      <c r="G7217" s="92">
        <f>EXP($C$12+$C$8*_xlfn.NORM.S.INV(RAND()))</f>
        <v/>
      </c>
    </row>
    <row r="7218">
      <c r="F7218">
        <f>F7217+1</f>
        <v/>
      </c>
      <c r="G7218" s="92">
        <f>EXP($C$12+$C$8*_xlfn.NORM.S.INV(RAND()))</f>
        <v/>
      </c>
    </row>
    <row r="7219">
      <c r="F7219">
        <f>F7218+1</f>
        <v/>
      </c>
      <c r="G7219" s="92">
        <f>EXP($C$12+$C$8*_xlfn.NORM.S.INV(RAND()))</f>
        <v/>
      </c>
    </row>
    <row r="7220">
      <c r="F7220">
        <f>F7219+1</f>
        <v/>
      </c>
      <c r="G7220" s="92">
        <f>EXP($C$12+$C$8*_xlfn.NORM.S.INV(RAND()))</f>
        <v/>
      </c>
    </row>
    <row r="7221">
      <c r="F7221">
        <f>F7220+1</f>
        <v/>
      </c>
      <c r="G7221" s="92">
        <f>EXP($C$12+$C$8*_xlfn.NORM.S.INV(RAND()))</f>
        <v/>
      </c>
    </row>
    <row r="7222">
      <c r="F7222">
        <f>F7221+1</f>
        <v/>
      </c>
      <c r="G7222" s="92">
        <f>EXP($C$12+$C$8*_xlfn.NORM.S.INV(RAND()))</f>
        <v/>
      </c>
    </row>
    <row r="7223">
      <c r="F7223">
        <f>F7222+1</f>
        <v/>
      </c>
      <c r="G7223" s="92">
        <f>EXP($C$12+$C$8*_xlfn.NORM.S.INV(RAND()))</f>
        <v/>
      </c>
    </row>
    <row r="7224">
      <c r="F7224">
        <f>F7223+1</f>
        <v/>
      </c>
      <c r="G7224" s="92">
        <f>EXP($C$12+$C$8*_xlfn.NORM.S.INV(RAND()))</f>
        <v/>
      </c>
    </row>
    <row r="7225">
      <c r="F7225">
        <f>F7224+1</f>
        <v/>
      </c>
      <c r="G7225" s="92">
        <f>EXP($C$12+$C$8*_xlfn.NORM.S.INV(RAND()))</f>
        <v/>
      </c>
    </row>
    <row r="7226">
      <c r="F7226">
        <f>F7225+1</f>
        <v/>
      </c>
      <c r="G7226" s="92">
        <f>EXP($C$12+$C$8*_xlfn.NORM.S.INV(RAND()))</f>
        <v/>
      </c>
    </row>
    <row r="7227">
      <c r="F7227">
        <f>F7226+1</f>
        <v/>
      </c>
      <c r="G7227" s="92">
        <f>EXP($C$12+$C$8*_xlfn.NORM.S.INV(RAND()))</f>
        <v/>
      </c>
    </row>
    <row r="7228">
      <c r="F7228">
        <f>F7227+1</f>
        <v/>
      </c>
      <c r="G7228" s="92">
        <f>EXP($C$12+$C$8*_xlfn.NORM.S.INV(RAND()))</f>
        <v/>
      </c>
    </row>
    <row r="7229">
      <c r="F7229">
        <f>F7228+1</f>
        <v/>
      </c>
      <c r="G7229" s="92">
        <f>EXP($C$12+$C$8*_xlfn.NORM.S.INV(RAND()))</f>
        <v/>
      </c>
    </row>
    <row r="7230">
      <c r="F7230">
        <f>F7229+1</f>
        <v/>
      </c>
      <c r="G7230" s="92">
        <f>EXP($C$12+$C$8*_xlfn.NORM.S.INV(RAND()))</f>
        <v/>
      </c>
    </row>
    <row r="7231">
      <c r="F7231">
        <f>F7230+1</f>
        <v/>
      </c>
      <c r="G7231" s="92">
        <f>EXP($C$12+$C$8*_xlfn.NORM.S.INV(RAND()))</f>
        <v/>
      </c>
    </row>
    <row r="7232">
      <c r="F7232">
        <f>F7231+1</f>
        <v/>
      </c>
      <c r="G7232" s="92">
        <f>EXP($C$12+$C$8*_xlfn.NORM.S.INV(RAND()))</f>
        <v/>
      </c>
    </row>
    <row r="7233">
      <c r="F7233">
        <f>F7232+1</f>
        <v/>
      </c>
      <c r="G7233" s="92">
        <f>EXP($C$12+$C$8*_xlfn.NORM.S.INV(RAND()))</f>
        <v/>
      </c>
    </row>
    <row r="7234">
      <c r="F7234">
        <f>F7233+1</f>
        <v/>
      </c>
      <c r="G7234" s="92">
        <f>EXP($C$12+$C$8*_xlfn.NORM.S.INV(RAND()))</f>
        <v/>
      </c>
    </row>
    <row r="7235">
      <c r="F7235">
        <f>F7234+1</f>
        <v/>
      </c>
      <c r="G7235" s="92">
        <f>EXP($C$12+$C$8*_xlfn.NORM.S.INV(RAND()))</f>
        <v/>
      </c>
    </row>
    <row r="7236">
      <c r="F7236">
        <f>F7235+1</f>
        <v/>
      </c>
      <c r="G7236" s="92">
        <f>EXP($C$12+$C$8*_xlfn.NORM.S.INV(RAND()))</f>
        <v/>
      </c>
    </row>
    <row r="7237">
      <c r="F7237">
        <f>F7236+1</f>
        <v/>
      </c>
      <c r="G7237" s="92">
        <f>EXP($C$12+$C$8*_xlfn.NORM.S.INV(RAND()))</f>
        <v/>
      </c>
    </row>
    <row r="7238">
      <c r="F7238">
        <f>F7237+1</f>
        <v/>
      </c>
      <c r="G7238" s="92">
        <f>EXP($C$12+$C$8*_xlfn.NORM.S.INV(RAND()))</f>
        <v/>
      </c>
    </row>
    <row r="7239">
      <c r="F7239">
        <f>F7238+1</f>
        <v/>
      </c>
      <c r="G7239" s="92">
        <f>EXP($C$12+$C$8*_xlfn.NORM.S.INV(RAND()))</f>
        <v/>
      </c>
    </row>
    <row r="7240">
      <c r="F7240">
        <f>F7239+1</f>
        <v/>
      </c>
      <c r="G7240" s="92">
        <f>EXP($C$12+$C$8*_xlfn.NORM.S.INV(RAND()))</f>
        <v/>
      </c>
    </row>
    <row r="7241">
      <c r="F7241">
        <f>F7240+1</f>
        <v/>
      </c>
      <c r="G7241" s="92">
        <f>EXP($C$12+$C$8*_xlfn.NORM.S.INV(RAND()))</f>
        <v/>
      </c>
    </row>
    <row r="7242">
      <c r="F7242">
        <f>F7241+1</f>
        <v/>
      </c>
      <c r="G7242" s="92">
        <f>EXP($C$12+$C$8*_xlfn.NORM.S.INV(RAND()))</f>
        <v/>
      </c>
    </row>
    <row r="7243">
      <c r="F7243">
        <f>F7242+1</f>
        <v/>
      </c>
      <c r="G7243" s="92">
        <f>EXP($C$12+$C$8*_xlfn.NORM.S.INV(RAND()))</f>
        <v/>
      </c>
    </row>
    <row r="7244">
      <c r="F7244">
        <f>F7243+1</f>
        <v/>
      </c>
      <c r="G7244" s="92">
        <f>EXP($C$12+$C$8*_xlfn.NORM.S.INV(RAND()))</f>
        <v/>
      </c>
    </row>
    <row r="7245">
      <c r="F7245">
        <f>F7244+1</f>
        <v/>
      </c>
      <c r="G7245" s="92">
        <f>EXP($C$12+$C$8*_xlfn.NORM.S.INV(RAND()))</f>
        <v/>
      </c>
    </row>
    <row r="7246">
      <c r="F7246">
        <f>F7245+1</f>
        <v/>
      </c>
      <c r="G7246" s="92">
        <f>EXP($C$12+$C$8*_xlfn.NORM.S.INV(RAND()))</f>
        <v/>
      </c>
    </row>
    <row r="7247">
      <c r="F7247">
        <f>F7246+1</f>
        <v/>
      </c>
      <c r="G7247" s="92">
        <f>EXP($C$12+$C$8*_xlfn.NORM.S.INV(RAND()))</f>
        <v/>
      </c>
    </row>
    <row r="7248">
      <c r="F7248">
        <f>F7247+1</f>
        <v/>
      </c>
      <c r="G7248" s="92">
        <f>EXP($C$12+$C$8*_xlfn.NORM.S.INV(RAND()))</f>
        <v/>
      </c>
    </row>
    <row r="7249">
      <c r="F7249">
        <f>F7248+1</f>
        <v/>
      </c>
      <c r="G7249" s="92">
        <f>EXP($C$12+$C$8*_xlfn.NORM.S.INV(RAND()))</f>
        <v/>
      </c>
    </row>
    <row r="7250">
      <c r="F7250">
        <f>F7249+1</f>
        <v/>
      </c>
      <c r="G7250" s="92">
        <f>EXP($C$12+$C$8*_xlfn.NORM.S.INV(RAND()))</f>
        <v/>
      </c>
    </row>
    <row r="7251">
      <c r="F7251">
        <f>F7250+1</f>
        <v/>
      </c>
      <c r="G7251" s="92">
        <f>EXP($C$12+$C$8*_xlfn.NORM.S.INV(RAND()))</f>
        <v/>
      </c>
    </row>
    <row r="7252">
      <c r="F7252">
        <f>F7251+1</f>
        <v/>
      </c>
      <c r="G7252" s="92">
        <f>EXP($C$12+$C$8*_xlfn.NORM.S.INV(RAND()))</f>
        <v/>
      </c>
    </row>
    <row r="7253">
      <c r="F7253">
        <f>F7252+1</f>
        <v/>
      </c>
      <c r="G7253" s="92">
        <f>EXP($C$12+$C$8*_xlfn.NORM.S.INV(RAND()))</f>
        <v/>
      </c>
    </row>
    <row r="7254">
      <c r="F7254">
        <f>F7253+1</f>
        <v/>
      </c>
      <c r="G7254" s="92">
        <f>EXP($C$12+$C$8*_xlfn.NORM.S.INV(RAND()))</f>
        <v/>
      </c>
    </row>
    <row r="7255">
      <c r="F7255">
        <f>F7254+1</f>
        <v/>
      </c>
      <c r="G7255" s="92">
        <f>EXP($C$12+$C$8*_xlfn.NORM.S.INV(RAND()))</f>
        <v/>
      </c>
    </row>
    <row r="7256">
      <c r="F7256">
        <f>F7255+1</f>
        <v/>
      </c>
      <c r="G7256" s="92">
        <f>EXP($C$12+$C$8*_xlfn.NORM.S.INV(RAND()))</f>
        <v/>
      </c>
    </row>
    <row r="7257">
      <c r="F7257">
        <f>F7256+1</f>
        <v/>
      </c>
      <c r="G7257" s="92">
        <f>EXP($C$12+$C$8*_xlfn.NORM.S.INV(RAND()))</f>
        <v/>
      </c>
    </row>
    <row r="7258">
      <c r="F7258">
        <f>F7257+1</f>
        <v/>
      </c>
      <c r="G7258" s="92">
        <f>EXP($C$12+$C$8*_xlfn.NORM.S.INV(RAND()))</f>
        <v/>
      </c>
    </row>
    <row r="7259">
      <c r="F7259">
        <f>F7258+1</f>
        <v/>
      </c>
      <c r="G7259" s="92">
        <f>EXP($C$12+$C$8*_xlfn.NORM.S.INV(RAND()))</f>
        <v/>
      </c>
    </row>
    <row r="7260">
      <c r="F7260">
        <f>F7259+1</f>
        <v/>
      </c>
      <c r="G7260" s="92">
        <f>EXP($C$12+$C$8*_xlfn.NORM.S.INV(RAND()))</f>
        <v/>
      </c>
    </row>
    <row r="7261">
      <c r="F7261">
        <f>F7260+1</f>
        <v/>
      </c>
      <c r="G7261" s="92">
        <f>EXP($C$12+$C$8*_xlfn.NORM.S.INV(RAND()))</f>
        <v/>
      </c>
    </row>
    <row r="7262">
      <c r="F7262">
        <f>F7261+1</f>
        <v/>
      </c>
      <c r="G7262" s="92">
        <f>EXP($C$12+$C$8*_xlfn.NORM.S.INV(RAND()))</f>
        <v/>
      </c>
    </row>
    <row r="7263">
      <c r="F7263">
        <f>F7262+1</f>
        <v/>
      </c>
      <c r="G7263" s="92">
        <f>EXP($C$12+$C$8*_xlfn.NORM.S.INV(RAND()))</f>
        <v/>
      </c>
    </row>
    <row r="7264">
      <c r="F7264">
        <f>F7263+1</f>
        <v/>
      </c>
      <c r="G7264" s="92">
        <f>EXP($C$12+$C$8*_xlfn.NORM.S.INV(RAND()))</f>
        <v/>
      </c>
    </row>
    <row r="7265">
      <c r="F7265">
        <f>F7264+1</f>
        <v/>
      </c>
      <c r="G7265" s="92">
        <f>EXP($C$12+$C$8*_xlfn.NORM.S.INV(RAND()))</f>
        <v/>
      </c>
    </row>
    <row r="7266">
      <c r="F7266">
        <f>F7265+1</f>
        <v/>
      </c>
      <c r="G7266" s="92">
        <f>EXP($C$12+$C$8*_xlfn.NORM.S.INV(RAND()))</f>
        <v/>
      </c>
    </row>
    <row r="7267">
      <c r="F7267">
        <f>F7266+1</f>
        <v/>
      </c>
      <c r="G7267" s="92">
        <f>EXP($C$12+$C$8*_xlfn.NORM.S.INV(RAND()))</f>
        <v/>
      </c>
    </row>
    <row r="7268">
      <c r="F7268">
        <f>F7267+1</f>
        <v/>
      </c>
      <c r="G7268" s="92">
        <f>EXP($C$12+$C$8*_xlfn.NORM.S.INV(RAND()))</f>
        <v/>
      </c>
    </row>
    <row r="7269">
      <c r="F7269">
        <f>F7268+1</f>
        <v/>
      </c>
      <c r="G7269" s="92">
        <f>EXP($C$12+$C$8*_xlfn.NORM.S.INV(RAND()))</f>
        <v/>
      </c>
    </row>
    <row r="7270">
      <c r="F7270">
        <f>F7269+1</f>
        <v/>
      </c>
      <c r="G7270" s="92">
        <f>EXP($C$12+$C$8*_xlfn.NORM.S.INV(RAND()))</f>
        <v/>
      </c>
    </row>
    <row r="7271">
      <c r="F7271">
        <f>F7270+1</f>
        <v/>
      </c>
      <c r="G7271" s="92">
        <f>EXP($C$12+$C$8*_xlfn.NORM.S.INV(RAND()))</f>
        <v/>
      </c>
    </row>
    <row r="7272">
      <c r="F7272">
        <f>F7271+1</f>
        <v/>
      </c>
      <c r="G7272" s="92">
        <f>EXP($C$12+$C$8*_xlfn.NORM.S.INV(RAND()))</f>
        <v/>
      </c>
    </row>
    <row r="7273">
      <c r="F7273">
        <f>F7272+1</f>
        <v/>
      </c>
      <c r="G7273" s="92">
        <f>EXP($C$12+$C$8*_xlfn.NORM.S.INV(RAND()))</f>
        <v/>
      </c>
    </row>
    <row r="7274">
      <c r="F7274">
        <f>F7273+1</f>
        <v/>
      </c>
      <c r="G7274" s="92">
        <f>EXP($C$12+$C$8*_xlfn.NORM.S.INV(RAND()))</f>
        <v/>
      </c>
    </row>
    <row r="7275">
      <c r="F7275">
        <f>F7274+1</f>
        <v/>
      </c>
      <c r="G7275" s="92">
        <f>EXP($C$12+$C$8*_xlfn.NORM.S.INV(RAND()))</f>
        <v/>
      </c>
    </row>
    <row r="7276">
      <c r="F7276">
        <f>F7275+1</f>
        <v/>
      </c>
      <c r="G7276" s="92">
        <f>EXP($C$12+$C$8*_xlfn.NORM.S.INV(RAND()))</f>
        <v/>
      </c>
    </row>
    <row r="7277">
      <c r="F7277">
        <f>F7276+1</f>
        <v/>
      </c>
      <c r="G7277" s="92">
        <f>EXP($C$12+$C$8*_xlfn.NORM.S.INV(RAND()))</f>
        <v/>
      </c>
    </row>
    <row r="7278">
      <c r="F7278">
        <f>F7277+1</f>
        <v/>
      </c>
      <c r="G7278" s="92">
        <f>EXP($C$12+$C$8*_xlfn.NORM.S.INV(RAND()))</f>
        <v/>
      </c>
    </row>
    <row r="7279">
      <c r="F7279">
        <f>F7278+1</f>
        <v/>
      </c>
      <c r="G7279" s="92">
        <f>EXP($C$12+$C$8*_xlfn.NORM.S.INV(RAND()))</f>
        <v/>
      </c>
    </row>
    <row r="7280">
      <c r="F7280">
        <f>F7279+1</f>
        <v/>
      </c>
      <c r="G7280" s="92">
        <f>EXP($C$12+$C$8*_xlfn.NORM.S.INV(RAND()))</f>
        <v/>
      </c>
    </row>
    <row r="7281">
      <c r="F7281">
        <f>F7280+1</f>
        <v/>
      </c>
      <c r="G7281" s="92">
        <f>EXP($C$12+$C$8*_xlfn.NORM.S.INV(RAND()))</f>
        <v/>
      </c>
    </row>
    <row r="7282">
      <c r="F7282">
        <f>F7281+1</f>
        <v/>
      </c>
      <c r="G7282" s="92">
        <f>EXP($C$12+$C$8*_xlfn.NORM.S.INV(RAND()))</f>
        <v/>
      </c>
    </row>
    <row r="7283">
      <c r="F7283">
        <f>F7282+1</f>
        <v/>
      </c>
      <c r="G7283" s="92">
        <f>EXP($C$12+$C$8*_xlfn.NORM.S.INV(RAND()))</f>
        <v/>
      </c>
    </row>
    <row r="7284">
      <c r="F7284">
        <f>F7283+1</f>
        <v/>
      </c>
      <c r="G7284" s="92">
        <f>EXP($C$12+$C$8*_xlfn.NORM.S.INV(RAND()))</f>
        <v/>
      </c>
    </row>
    <row r="7285">
      <c r="F7285">
        <f>F7284+1</f>
        <v/>
      </c>
      <c r="G7285" s="92">
        <f>EXP($C$12+$C$8*_xlfn.NORM.S.INV(RAND()))</f>
        <v/>
      </c>
    </row>
    <row r="7286">
      <c r="F7286">
        <f>F7285+1</f>
        <v/>
      </c>
      <c r="G7286" s="92">
        <f>EXP($C$12+$C$8*_xlfn.NORM.S.INV(RAND()))</f>
        <v/>
      </c>
    </row>
    <row r="7287">
      <c r="F7287">
        <f>F7286+1</f>
        <v/>
      </c>
      <c r="G7287" s="92">
        <f>EXP($C$12+$C$8*_xlfn.NORM.S.INV(RAND()))</f>
        <v/>
      </c>
    </row>
    <row r="7288">
      <c r="F7288">
        <f>F7287+1</f>
        <v/>
      </c>
      <c r="G7288" s="92">
        <f>EXP($C$12+$C$8*_xlfn.NORM.S.INV(RAND()))</f>
        <v/>
      </c>
    </row>
    <row r="7289">
      <c r="F7289">
        <f>F7288+1</f>
        <v/>
      </c>
      <c r="G7289" s="92">
        <f>EXP($C$12+$C$8*_xlfn.NORM.S.INV(RAND()))</f>
        <v/>
      </c>
    </row>
    <row r="7290">
      <c r="F7290">
        <f>F7289+1</f>
        <v/>
      </c>
      <c r="G7290" s="92">
        <f>EXP($C$12+$C$8*_xlfn.NORM.S.INV(RAND()))</f>
        <v/>
      </c>
    </row>
    <row r="7291">
      <c r="F7291">
        <f>F7290+1</f>
        <v/>
      </c>
      <c r="G7291" s="92">
        <f>EXP($C$12+$C$8*_xlfn.NORM.S.INV(RAND()))</f>
        <v/>
      </c>
    </row>
    <row r="7292">
      <c r="F7292">
        <f>F7291+1</f>
        <v/>
      </c>
      <c r="G7292" s="92">
        <f>EXP($C$12+$C$8*_xlfn.NORM.S.INV(RAND()))</f>
        <v/>
      </c>
    </row>
    <row r="7293">
      <c r="F7293">
        <f>F7292+1</f>
        <v/>
      </c>
      <c r="G7293" s="92">
        <f>EXP($C$12+$C$8*_xlfn.NORM.S.INV(RAND()))</f>
        <v/>
      </c>
    </row>
    <row r="7294">
      <c r="F7294">
        <f>F7293+1</f>
        <v/>
      </c>
      <c r="G7294" s="92">
        <f>EXP($C$12+$C$8*_xlfn.NORM.S.INV(RAND()))</f>
        <v/>
      </c>
    </row>
    <row r="7295">
      <c r="F7295">
        <f>F7294+1</f>
        <v/>
      </c>
      <c r="G7295" s="92">
        <f>EXP($C$12+$C$8*_xlfn.NORM.S.INV(RAND()))</f>
        <v/>
      </c>
    </row>
    <row r="7296">
      <c r="F7296">
        <f>F7295+1</f>
        <v/>
      </c>
      <c r="G7296" s="92">
        <f>EXP($C$12+$C$8*_xlfn.NORM.S.INV(RAND()))</f>
        <v/>
      </c>
    </row>
    <row r="7297">
      <c r="F7297">
        <f>F7296+1</f>
        <v/>
      </c>
      <c r="G7297" s="92">
        <f>EXP($C$12+$C$8*_xlfn.NORM.S.INV(RAND()))</f>
        <v/>
      </c>
    </row>
    <row r="7298">
      <c r="F7298">
        <f>F7297+1</f>
        <v/>
      </c>
      <c r="G7298" s="92">
        <f>EXP($C$12+$C$8*_xlfn.NORM.S.INV(RAND()))</f>
        <v/>
      </c>
    </row>
    <row r="7299">
      <c r="F7299">
        <f>F7298+1</f>
        <v/>
      </c>
      <c r="G7299" s="92">
        <f>EXP($C$12+$C$8*_xlfn.NORM.S.INV(RAND()))</f>
        <v/>
      </c>
    </row>
    <row r="7300">
      <c r="F7300">
        <f>F7299+1</f>
        <v/>
      </c>
      <c r="G7300" s="92">
        <f>EXP($C$12+$C$8*_xlfn.NORM.S.INV(RAND()))</f>
        <v/>
      </c>
    </row>
    <row r="7301">
      <c r="F7301">
        <f>F7300+1</f>
        <v/>
      </c>
      <c r="G7301" s="92">
        <f>EXP($C$12+$C$8*_xlfn.NORM.S.INV(RAND()))</f>
        <v/>
      </c>
    </row>
    <row r="7302">
      <c r="F7302">
        <f>F7301+1</f>
        <v/>
      </c>
      <c r="G7302" s="92">
        <f>EXP($C$12+$C$8*_xlfn.NORM.S.INV(RAND()))</f>
        <v/>
      </c>
    </row>
    <row r="7303">
      <c r="F7303">
        <f>F7302+1</f>
        <v/>
      </c>
      <c r="G7303" s="92">
        <f>EXP($C$12+$C$8*_xlfn.NORM.S.INV(RAND()))</f>
        <v/>
      </c>
    </row>
    <row r="7304">
      <c r="F7304">
        <f>F7303+1</f>
        <v/>
      </c>
      <c r="G7304" s="92">
        <f>EXP($C$12+$C$8*_xlfn.NORM.S.INV(RAND()))</f>
        <v/>
      </c>
    </row>
    <row r="7305">
      <c r="F7305">
        <f>F7304+1</f>
        <v/>
      </c>
      <c r="G7305" s="92">
        <f>EXP($C$12+$C$8*_xlfn.NORM.S.INV(RAND()))</f>
        <v/>
      </c>
    </row>
    <row r="7306">
      <c r="F7306">
        <f>F7305+1</f>
        <v/>
      </c>
      <c r="G7306" s="92">
        <f>EXP($C$12+$C$8*_xlfn.NORM.S.INV(RAND()))</f>
        <v/>
      </c>
    </row>
    <row r="7307">
      <c r="F7307">
        <f>F7306+1</f>
        <v/>
      </c>
      <c r="G7307" s="92">
        <f>EXP($C$12+$C$8*_xlfn.NORM.S.INV(RAND()))</f>
        <v/>
      </c>
    </row>
    <row r="7308">
      <c r="F7308">
        <f>F7307+1</f>
        <v/>
      </c>
      <c r="G7308" s="92">
        <f>EXP($C$12+$C$8*_xlfn.NORM.S.INV(RAND()))</f>
        <v/>
      </c>
    </row>
    <row r="7309">
      <c r="F7309">
        <f>F7308+1</f>
        <v/>
      </c>
      <c r="G7309" s="92">
        <f>EXP($C$12+$C$8*_xlfn.NORM.S.INV(RAND()))</f>
        <v/>
      </c>
    </row>
    <row r="7310">
      <c r="F7310">
        <f>F7309+1</f>
        <v/>
      </c>
      <c r="G7310" s="92">
        <f>EXP($C$12+$C$8*_xlfn.NORM.S.INV(RAND()))</f>
        <v/>
      </c>
    </row>
    <row r="7311">
      <c r="F7311">
        <f>F7310+1</f>
        <v/>
      </c>
      <c r="G7311" s="92">
        <f>EXP($C$12+$C$8*_xlfn.NORM.S.INV(RAND()))</f>
        <v/>
      </c>
    </row>
    <row r="7312">
      <c r="F7312">
        <f>F7311+1</f>
        <v/>
      </c>
      <c r="G7312" s="92">
        <f>EXP($C$12+$C$8*_xlfn.NORM.S.INV(RAND()))</f>
        <v/>
      </c>
    </row>
    <row r="7313">
      <c r="F7313">
        <f>F7312+1</f>
        <v/>
      </c>
      <c r="G7313" s="92">
        <f>EXP($C$12+$C$8*_xlfn.NORM.S.INV(RAND()))</f>
        <v/>
      </c>
    </row>
    <row r="7314">
      <c r="F7314">
        <f>F7313+1</f>
        <v/>
      </c>
      <c r="G7314" s="92">
        <f>EXP($C$12+$C$8*_xlfn.NORM.S.INV(RAND()))</f>
        <v/>
      </c>
    </row>
    <row r="7315">
      <c r="F7315">
        <f>F7314+1</f>
        <v/>
      </c>
      <c r="G7315" s="92">
        <f>EXP($C$12+$C$8*_xlfn.NORM.S.INV(RAND()))</f>
        <v/>
      </c>
    </row>
    <row r="7316">
      <c r="F7316">
        <f>F7315+1</f>
        <v/>
      </c>
      <c r="G7316" s="92">
        <f>EXP($C$12+$C$8*_xlfn.NORM.S.INV(RAND()))</f>
        <v/>
      </c>
    </row>
    <row r="7317">
      <c r="F7317">
        <f>F7316+1</f>
        <v/>
      </c>
      <c r="G7317" s="92">
        <f>EXP($C$12+$C$8*_xlfn.NORM.S.INV(RAND()))</f>
        <v/>
      </c>
    </row>
    <row r="7318">
      <c r="F7318">
        <f>F7317+1</f>
        <v/>
      </c>
      <c r="G7318" s="92">
        <f>EXP($C$12+$C$8*_xlfn.NORM.S.INV(RAND()))</f>
        <v/>
      </c>
    </row>
    <row r="7319">
      <c r="F7319">
        <f>F7318+1</f>
        <v/>
      </c>
      <c r="G7319" s="92">
        <f>EXP($C$12+$C$8*_xlfn.NORM.S.INV(RAND()))</f>
        <v/>
      </c>
    </row>
    <row r="7320">
      <c r="F7320">
        <f>F7319+1</f>
        <v/>
      </c>
      <c r="G7320" s="92">
        <f>EXP($C$12+$C$8*_xlfn.NORM.S.INV(RAND()))</f>
        <v/>
      </c>
    </row>
    <row r="7321">
      <c r="F7321">
        <f>F7320+1</f>
        <v/>
      </c>
      <c r="G7321" s="92">
        <f>EXP($C$12+$C$8*_xlfn.NORM.S.INV(RAND()))</f>
        <v/>
      </c>
    </row>
    <row r="7322">
      <c r="F7322">
        <f>F7321+1</f>
        <v/>
      </c>
      <c r="G7322" s="92">
        <f>EXP($C$12+$C$8*_xlfn.NORM.S.INV(RAND()))</f>
        <v/>
      </c>
    </row>
    <row r="7323">
      <c r="F7323">
        <f>F7322+1</f>
        <v/>
      </c>
      <c r="G7323" s="92">
        <f>EXP($C$12+$C$8*_xlfn.NORM.S.INV(RAND()))</f>
        <v/>
      </c>
    </row>
    <row r="7324">
      <c r="F7324">
        <f>F7323+1</f>
        <v/>
      </c>
      <c r="G7324" s="92">
        <f>EXP($C$12+$C$8*_xlfn.NORM.S.INV(RAND()))</f>
        <v/>
      </c>
    </row>
    <row r="7325">
      <c r="F7325">
        <f>F7324+1</f>
        <v/>
      </c>
      <c r="G7325" s="92">
        <f>EXP($C$12+$C$8*_xlfn.NORM.S.INV(RAND()))</f>
        <v/>
      </c>
    </row>
    <row r="7326">
      <c r="F7326">
        <f>F7325+1</f>
        <v/>
      </c>
      <c r="G7326" s="92">
        <f>EXP($C$12+$C$8*_xlfn.NORM.S.INV(RAND()))</f>
        <v/>
      </c>
    </row>
    <row r="7327">
      <c r="F7327">
        <f>F7326+1</f>
        <v/>
      </c>
      <c r="G7327" s="92">
        <f>EXP($C$12+$C$8*_xlfn.NORM.S.INV(RAND()))</f>
        <v/>
      </c>
    </row>
    <row r="7328">
      <c r="F7328">
        <f>F7327+1</f>
        <v/>
      </c>
      <c r="G7328" s="92">
        <f>EXP($C$12+$C$8*_xlfn.NORM.S.INV(RAND()))</f>
        <v/>
      </c>
    </row>
    <row r="7329">
      <c r="F7329">
        <f>F7328+1</f>
        <v/>
      </c>
      <c r="G7329" s="92">
        <f>EXP($C$12+$C$8*_xlfn.NORM.S.INV(RAND()))</f>
        <v/>
      </c>
    </row>
    <row r="7330">
      <c r="F7330">
        <f>F7329+1</f>
        <v/>
      </c>
      <c r="G7330" s="92">
        <f>EXP($C$12+$C$8*_xlfn.NORM.S.INV(RAND()))</f>
        <v/>
      </c>
    </row>
    <row r="7331">
      <c r="F7331">
        <f>F7330+1</f>
        <v/>
      </c>
      <c r="G7331" s="92">
        <f>EXP($C$12+$C$8*_xlfn.NORM.S.INV(RAND()))</f>
        <v/>
      </c>
    </row>
    <row r="7332">
      <c r="F7332">
        <f>F7331+1</f>
        <v/>
      </c>
      <c r="G7332" s="92">
        <f>EXP($C$12+$C$8*_xlfn.NORM.S.INV(RAND()))</f>
        <v/>
      </c>
    </row>
    <row r="7333">
      <c r="F7333">
        <f>F7332+1</f>
        <v/>
      </c>
      <c r="G7333" s="92">
        <f>EXP($C$12+$C$8*_xlfn.NORM.S.INV(RAND()))</f>
        <v/>
      </c>
    </row>
    <row r="7334">
      <c r="F7334">
        <f>F7333+1</f>
        <v/>
      </c>
      <c r="G7334" s="92">
        <f>EXP($C$12+$C$8*_xlfn.NORM.S.INV(RAND()))</f>
        <v/>
      </c>
    </row>
    <row r="7335">
      <c r="F7335">
        <f>F7334+1</f>
        <v/>
      </c>
      <c r="G7335" s="92">
        <f>EXP($C$12+$C$8*_xlfn.NORM.S.INV(RAND()))</f>
        <v/>
      </c>
    </row>
    <row r="7336">
      <c r="F7336">
        <f>F7335+1</f>
        <v/>
      </c>
      <c r="G7336" s="92">
        <f>EXP($C$12+$C$8*_xlfn.NORM.S.INV(RAND()))</f>
        <v/>
      </c>
    </row>
    <row r="7337">
      <c r="F7337">
        <f>F7336+1</f>
        <v/>
      </c>
      <c r="G7337" s="92">
        <f>EXP($C$12+$C$8*_xlfn.NORM.S.INV(RAND()))</f>
        <v/>
      </c>
    </row>
    <row r="7338">
      <c r="F7338">
        <f>F7337+1</f>
        <v/>
      </c>
      <c r="G7338" s="92">
        <f>EXP($C$12+$C$8*_xlfn.NORM.S.INV(RAND()))</f>
        <v/>
      </c>
    </row>
    <row r="7339">
      <c r="F7339">
        <f>F7338+1</f>
        <v/>
      </c>
      <c r="G7339" s="92">
        <f>EXP($C$12+$C$8*_xlfn.NORM.S.INV(RAND()))</f>
        <v/>
      </c>
    </row>
    <row r="7340">
      <c r="F7340">
        <f>F7339+1</f>
        <v/>
      </c>
      <c r="G7340" s="92">
        <f>EXP($C$12+$C$8*_xlfn.NORM.S.INV(RAND()))</f>
        <v/>
      </c>
    </row>
    <row r="7341">
      <c r="F7341">
        <f>F7340+1</f>
        <v/>
      </c>
      <c r="G7341" s="92">
        <f>EXP($C$12+$C$8*_xlfn.NORM.S.INV(RAND()))</f>
        <v/>
      </c>
    </row>
    <row r="7342">
      <c r="F7342">
        <f>F7341+1</f>
        <v/>
      </c>
      <c r="G7342" s="92">
        <f>EXP($C$12+$C$8*_xlfn.NORM.S.INV(RAND()))</f>
        <v/>
      </c>
    </row>
    <row r="7343">
      <c r="F7343">
        <f>F7342+1</f>
        <v/>
      </c>
      <c r="G7343" s="92">
        <f>EXP($C$12+$C$8*_xlfn.NORM.S.INV(RAND()))</f>
        <v/>
      </c>
    </row>
    <row r="7344">
      <c r="F7344">
        <f>F7343+1</f>
        <v/>
      </c>
      <c r="G7344" s="92">
        <f>EXP($C$12+$C$8*_xlfn.NORM.S.INV(RAND()))</f>
        <v/>
      </c>
    </row>
    <row r="7345">
      <c r="F7345">
        <f>F7344+1</f>
        <v/>
      </c>
      <c r="G7345" s="92">
        <f>EXP($C$12+$C$8*_xlfn.NORM.S.INV(RAND()))</f>
        <v/>
      </c>
    </row>
    <row r="7346">
      <c r="F7346">
        <f>F7345+1</f>
        <v/>
      </c>
      <c r="G7346" s="92">
        <f>EXP($C$12+$C$8*_xlfn.NORM.S.INV(RAND()))</f>
        <v/>
      </c>
    </row>
    <row r="7347">
      <c r="F7347">
        <f>F7346+1</f>
        <v/>
      </c>
      <c r="G7347" s="92">
        <f>EXP($C$12+$C$8*_xlfn.NORM.S.INV(RAND()))</f>
        <v/>
      </c>
    </row>
    <row r="7348">
      <c r="F7348">
        <f>F7347+1</f>
        <v/>
      </c>
      <c r="G7348" s="92">
        <f>EXP($C$12+$C$8*_xlfn.NORM.S.INV(RAND()))</f>
        <v/>
      </c>
    </row>
    <row r="7349">
      <c r="F7349">
        <f>F7348+1</f>
        <v/>
      </c>
      <c r="G7349" s="92">
        <f>EXP($C$12+$C$8*_xlfn.NORM.S.INV(RAND()))</f>
        <v/>
      </c>
    </row>
    <row r="7350">
      <c r="F7350">
        <f>F7349+1</f>
        <v/>
      </c>
      <c r="G7350" s="92">
        <f>EXP($C$12+$C$8*_xlfn.NORM.S.INV(RAND()))</f>
        <v/>
      </c>
    </row>
    <row r="7351">
      <c r="F7351">
        <f>F7350+1</f>
        <v/>
      </c>
      <c r="G7351" s="92">
        <f>EXP($C$12+$C$8*_xlfn.NORM.S.INV(RAND()))</f>
        <v/>
      </c>
    </row>
    <row r="7352">
      <c r="F7352">
        <f>F7351+1</f>
        <v/>
      </c>
      <c r="G7352" s="92">
        <f>EXP($C$12+$C$8*_xlfn.NORM.S.INV(RAND()))</f>
        <v/>
      </c>
    </row>
    <row r="7353">
      <c r="F7353">
        <f>F7352+1</f>
        <v/>
      </c>
      <c r="G7353" s="92">
        <f>EXP($C$12+$C$8*_xlfn.NORM.S.INV(RAND()))</f>
        <v/>
      </c>
    </row>
    <row r="7354">
      <c r="F7354">
        <f>F7353+1</f>
        <v/>
      </c>
      <c r="G7354" s="92">
        <f>EXP($C$12+$C$8*_xlfn.NORM.S.INV(RAND()))</f>
        <v/>
      </c>
    </row>
    <row r="7355">
      <c r="F7355">
        <f>F7354+1</f>
        <v/>
      </c>
      <c r="G7355" s="92">
        <f>EXP($C$12+$C$8*_xlfn.NORM.S.INV(RAND()))</f>
        <v/>
      </c>
    </row>
    <row r="7356">
      <c r="F7356">
        <f>F7355+1</f>
        <v/>
      </c>
      <c r="G7356" s="92">
        <f>EXP($C$12+$C$8*_xlfn.NORM.S.INV(RAND()))</f>
        <v/>
      </c>
    </row>
    <row r="7357">
      <c r="F7357">
        <f>F7356+1</f>
        <v/>
      </c>
      <c r="G7357" s="92">
        <f>EXP($C$12+$C$8*_xlfn.NORM.S.INV(RAND()))</f>
        <v/>
      </c>
    </row>
    <row r="7358">
      <c r="F7358">
        <f>F7357+1</f>
        <v/>
      </c>
      <c r="G7358" s="92">
        <f>EXP($C$12+$C$8*_xlfn.NORM.S.INV(RAND()))</f>
        <v/>
      </c>
    </row>
    <row r="7359">
      <c r="F7359">
        <f>F7358+1</f>
        <v/>
      </c>
      <c r="G7359" s="92">
        <f>EXP($C$12+$C$8*_xlfn.NORM.S.INV(RAND()))</f>
        <v/>
      </c>
    </row>
    <row r="7360">
      <c r="F7360">
        <f>F7359+1</f>
        <v/>
      </c>
      <c r="G7360" s="92">
        <f>EXP($C$12+$C$8*_xlfn.NORM.S.INV(RAND()))</f>
        <v/>
      </c>
    </row>
    <row r="7361">
      <c r="F7361">
        <f>F7360+1</f>
        <v/>
      </c>
      <c r="G7361" s="92">
        <f>EXP($C$12+$C$8*_xlfn.NORM.S.INV(RAND()))</f>
        <v/>
      </c>
    </row>
    <row r="7362">
      <c r="F7362">
        <f>F7361+1</f>
        <v/>
      </c>
      <c r="G7362" s="92">
        <f>EXP($C$12+$C$8*_xlfn.NORM.S.INV(RAND()))</f>
        <v/>
      </c>
    </row>
    <row r="7363">
      <c r="F7363">
        <f>F7362+1</f>
        <v/>
      </c>
      <c r="G7363" s="92">
        <f>EXP($C$12+$C$8*_xlfn.NORM.S.INV(RAND()))</f>
        <v/>
      </c>
    </row>
    <row r="7364">
      <c r="F7364">
        <f>F7363+1</f>
        <v/>
      </c>
      <c r="G7364" s="92">
        <f>EXP($C$12+$C$8*_xlfn.NORM.S.INV(RAND()))</f>
        <v/>
      </c>
    </row>
    <row r="7365">
      <c r="F7365">
        <f>F7364+1</f>
        <v/>
      </c>
      <c r="G7365" s="92">
        <f>EXP($C$12+$C$8*_xlfn.NORM.S.INV(RAND()))</f>
        <v/>
      </c>
    </row>
    <row r="7366">
      <c r="F7366">
        <f>F7365+1</f>
        <v/>
      </c>
      <c r="G7366" s="92">
        <f>EXP($C$12+$C$8*_xlfn.NORM.S.INV(RAND()))</f>
        <v/>
      </c>
    </row>
    <row r="7367">
      <c r="F7367">
        <f>F7366+1</f>
        <v/>
      </c>
      <c r="G7367" s="92">
        <f>EXP($C$12+$C$8*_xlfn.NORM.S.INV(RAND()))</f>
        <v/>
      </c>
    </row>
    <row r="7368">
      <c r="F7368">
        <f>F7367+1</f>
        <v/>
      </c>
      <c r="G7368" s="92">
        <f>EXP($C$12+$C$8*_xlfn.NORM.S.INV(RAND()))</f>
        <v/>
      </c>
    </row>
    <row r="7369">
      <c r="F7369">
        <f>F7368+1</f>
        <v/>
      </c>
      <c r="G7369" s="92">
        <f>EXP($C$12+$C$8*_xlfn.NORM.S.INV(RAND()))</f>
        <v/>
      </c>
    </row>
    <row r="7370">
      <c r="F7370">
        <f>F7369+1</f>
        <v/>
      </c>
      <c r="G7370" s="92">
        <f>EXP($C$12+$C$8*_xlfn.NORM.S.INV(RAND()))</f>
        <v/>
      </c>
    </row>
    <row r="7371">
      <c r="F7371">
        <f>F7370+1</f>
        <v/>
      </c>
      <c r="G7371" s="92">
        <f>EXP($C$12+$C$8*_xlfn.NORM.S.INV(RAND()))</f>
        <v/>
      </c>
    </row>
    <row r="7372">
      <c r="F7372">
        <f>F7371+1</f>
        <v/>
      </c>
      <c r="G7372" s="92">
        <f>EXP($C$12+$C$8*_xlfn.NORM.S.INV(RAND()))</f>
        <v/>
      </c>
    </row>
    <row r="7373">
      <c r="F7373">
        <f>F7372+1</f>
        <v/>
      </c>
      <c r="G7373" s="92">
        <f>EXP($C$12+$C$8*_xlfn.NORM.S.INV(RAND()))</f>
        <v/>
      </c>
    </row>
    <row r="7374">
      <c r="F7374">
        <f>F7373+1</f>
        <v/>
      </c>
      <c r="G7374" s="92">
        <f>EXP($C$12+$C$8*_xlfn.NORM.S.INV(RAND()))</f>
        <v/>
      </c>
    </row>
    <row r="7375">
      <c r="F7375">
        <f>F7374+1</f>
        <v/>
      </c>
      <c r="G7375" s="92">
        <f>EXP($C$12+$C$8*_xlfn.NORM.S.INV(RAND()))</f>
        <v/>
      </c>
    </row>
    <row r="7376">
      <c r="F7376">
        <f>F7375+1</f>
        <v/>
      </c>
      <c r="G7376" s="92">
        <f>EXP($C$12+$C$8*_xlfn.NORM.S.INV(RAND()))</f>
        <v/>
      </c>
    </row>
    <row r="7377">
      <c r="F7377">
        <f>F7376+1</f>
        <v/>
      </c>
      <c r="G7377" s="92">
        <f>EXP($C$12+$C$8*_xlfn.NORM.S.INV(RAND()))</f>
        <v/>
      </c>
    </row>
    <row r="7378">
      <c r="F7378">
        <f>F7377+1</f>
        <v/>
      </c>
      <c r="G7378" s="92">
        <f>EXP($C$12+$C$8*_xlfn.NORM.S.INV(RAND()))</f>
        <v/>
      </c>
    </row>
    <row r="7379">
      <c r="F7379">
        <f>F7378+1</f>
        <v/>
      </c>
      <c r="G7379" s="92">
        <f>EXP($C$12+$C$8*_xlfn.NORM.S.INV(RAND()))</f>
        <v/>
      </c>
    </row>
    <row r="7380">
      <c r="F7380">
        <f>F7379+1</f>
        <v/>
      </c>
      <c r="G7380" s="92">
        <f>EXP($C$12+$C$8*_xlfn.NORM.S.INV(RAND()))</f>
        <v/>
      </c>
    </row>
    <row r="7381">
      <c r="F7381">
        <f>F7380+1</f>
        <v/>
      </c>
      <c r="G7381" s="92">
        <f>EXP($C$12+$C$8*_xlfn.NORM.S.INV(RAND()))</f>
        <v/>
      </c>
    </row>
    <row r="7382">
      <c r="F7382">
        <f>F7381+1</f>
        <v/>
      </c>
      <c r="G7382" s="92">
        <f>EXP($C$12+$C$8*_xlfn.NORM.S.INV(RAND()))</f>
        <v/>
      </c>
    </row>
    <row r="7383">
      <c r="F7383">
        <f>F7382+1</f>
        <v/>
      </c>
      <c r="G7383" s="92">
        <f>EXP($C$12+$C$8*_xlfn.NORM.S.INV(RAND()))</f>
        <v/>
      </c>
    </row>
    <row r="7384">
      <c r="F7384">
        <f>F7383+1</f>
        <v/>
      </c>
      <c r="G7384" s="92">
        <f>EXP($C$12+$C$8*_xlfn.NORM.S.INV(RAND()))</f>
        <v/>
      </c>
    </row>
    <row r="7385">
      <c r="F7385">
        <f>F7384+1</f>
        <v/>
      </c>
      <c r="G7385" s="92">
        <f>EXP($C$12+$C$8*_xlfn.NORM.S.INV(RAND()))</f>
        <v/>
      </c>
    </row>
    <row r="7386">
      <c r="F7386">
        <f>F7385+1</f>
        <v/>
      </c>
      <c r="G7386" s="92">
        <f>EXP($C$12+$C$8*_xlfn.NORM.S.INV(RAND()))</f>
        <v/>
      </c>
    </row>
    <row r="7387">
      <c r="F7387">
        <f>F7386+1</f>
        <v/>
      </c>
      <c r="G7387" s="92">
        <f>EXP($C$12+$C$8*_xlfn.NORM.S.INV(RAND()))</f>
        <v/>
      </c>
    </row>
    <row r="7388">
      <c r="F7388">
        <f>F7387+1</f>
        <v/>
      </c>
      <c r="G7388" s="92">
        <f>EXP($C$12+$C$8*_xlfn.NORM.S.INV(RAND()))</f>
        <v/>
      </c>
    </row>
    <row r="7389">
      <c r="F7389">
        <f>F7388+1</f>
        <v/>
      </c>
      <c r="G7389" s="92">
        <f>EXP($C$12+$C$8*_xlfn.NORM.S.INV(RAND()))</f>
        <v/>
      </c>
    </row>
    <row r="7390">
      <c r="F7390">
        <f>F7389+1</f>
        <v/>
      </c>
      <c r="G7390" s="92">
        <f>EXP($C$12+$C$8*_xlfn.NORM.S.INV(RAND()))</f>
        <v/>
      </c>
    </row>
    <row r="7391">
      <c r="F7391">
        <f>F7390+1</f>
        <v/>
      </c>
      <c r="G7391" s="92">
        <f>EXP($C$12+$C$8*_xlfn.NORM.S.INV(RAND()))</f>
        <v/>
      </c>
    </row>
    <row r="7392">
      <c r="F7392">
        <f>F7391+1</f>
        <v/>
      </c>
      <c r="G7392" s="92">
        <f>EXP($C$12+$C$8*_xlfn.NORM.S.INV(RAND()))</f>
        <v/>
      </c>
    </row>
    <row r="7393">
      <c r="F7393">
        <f>F7392+1</f>
        <v/>
      </c>
      <c r="G7393" s="92">
        <f>EXP($C$12+$C$8*_xlfn.NORM.S.INV(RAND()))</f>
        <v/>
      </c>
    </row>
    <row r="7394">
      <c r="F7394">
        <f>F7393+1</f>
        <v/>
      </c>
      <c r="G7394" s="92">
        <f>EXP($C$12+$C$8*_xlfn.NORM.S.INV(RAND()))</f>
        <v/>
      </c>
    </row>
    <row r="7395">
      <c r="F7395">
        <f>F7394+1</f>
        <v/>
      </c>
      <c r="G7395" s="92">
        <f>EXP($C$12+$C$8*_xlfn.NORM.S.INV(RAND()))</f>
        <v/>
      </c>
    </row>
    <row r="7396">
      <c r="F7396">
        <f>F7395+1</f>
        <v/>
      </c>
      <c r="G7396" s="92">
        <f>EXP($C$12+$C$8*_xlfn.NORM.S.INV(RAND()))</f>
        <v/>
      </c>
    </row>
    <row r="7397">
      <c r="F7397">
        <f>F7396+1</f>
        <v/>
      </c>
      <c r="G7397" s="92">
        <f>EXP($C$12+$C$8*_xlfn.NORM.S.INV(RAND()))</f>
        <v/>
      </c>
    </row>
    <row r="7398">
      <c r="F7398">
        <f>F7397+1</f>
        <v/>
      </c>
      <c r="G7398" s="92">
        <f>EXP($C$12+$C$8*_xlfn.NORM.S.INV(RAND()))</f>
        <v/>
      </c>
    </row>
    <row r="7399">
      <c r="F7399">
        <f>F7398+1</f>
        <v/>
      </c>
      <c r="G7399" s="92">
        <f>EXP($C$12+$C$8*_xlfn.NORM.S.INV(RAND()))</f>
        <v/>
      </c>
    </row>
    <row r="7400">
      <c r="F7400">
        <f>F7399+1</f>
        <v/>
      </c>
      <c r="G7400" s="92">
        <f>EXP($C$12+$C$8*_xlfn.NORM.S.INV(RAND()))</f>
        <v/>
      </c>
    </row>
    <row r="7401">
      <c r="F7401">
        <f>F7400+1</f>
        <v/>
      </c>
      <c r="G7401" s="92">
        <f>EXP($C$12+$C$8*_xlfn.NORM.S.INV(RAND()))</f>
        <v/>
      </c>
    </row>
    <row r="7402">
      <c r="F7402">
        <f>F7401+1</f>
        <v/>
      </c>
      <c r="G7402" s="92">
        <f>EXP($C$12+$C$8*_xlfn.NORM.S.INV(RAND()))</f>
        <v/>
      </c>
    </row>
    <row r="7403">
      <c r="F7403">
        <f>F7402+1</f>
        <v/>
      </c>
      <c r="G7403" s="92">
        <f>EXP($C$12+$C$8*_xlfn.NORM.S.INV(RAND()))</f>
        <v/>
      </c>
    </row>
    <row r="7404">
      <c r="F7404">
        <f>F7403+1</f>
        <v/>
      </c>
      <c r="G7404" s="92">
        <f>EXP($C$12+$C$8*_xlfn.NORM.S.INV(RAND()))</f>
        <v/>
      </c>
    </row>
    <row r="7405">
      <c r="F7405">
        <f>F7404+1</f>
        <v/>
      </c>
      <c r="G7405" s="92">
        <f>EXP($C$12+$C$8*_xlfn.NORM.S.INV(RAND()))</f>
        <v/>
      </c>
    </row>
    <row r="7406">
      <c r="F7406">
        <f>F7405+1</f>
        <v/>
      </c>
      <c r="G7406" s="92">
        <f>EXP($C$12+$C$8*_xlfn.NORM.S.INV(RAND()))</f>
        <v/>
      </c>
    </row>
    <row r="7407">
      <c r="F7407">
        <f>F7406+1</f>
        <v/>
      </c>
      <c r="G7407" s="92">
        <f>EXP($C$12+$C$8*_xlfn.NORM.S.INV(RAND()))</f>
        <v/>
      </c>
    </row>
    <row r="7408">
      <c r="F7408">
        <f>F7407+1</f>
        <v/>
      </c>
      <c r="G7408" s="92">
        <f>EXP($C$12+$C$8*_xlfn.NORM.S.INV(RAND()))</f>
        <v/>
      </c>
    </row>
    <row r="7409">
      <c r="F7409">
        <f>F7408+1</f>
        <v/>
      </c>
      <c r="G7409" s="92">
        <f>EXP($C$12+$C$8*_xlfn.NORM.S.INV(RAND()))</f>
        <v/>
      </c>
    </row>
    <row r="7410">
      <c r="F7410">
        <f>F7409+1</f>
        <v/>
      </c>
      <c r="G7410" s="92">
        <f>EXP($C$12+$C$8*_xlfn.NORM.S.INV(RAND()))</f>
        <v/>
      </c>
    </row>
    <row r="7411">
      <c r="F7411">
        <f>F7410+1</f>
        <v/>
      </c>
      <c r="G7411" s="92">
        <f>EXP($C$12+$C$8*_xlfn.NORM.S.INV(RAND()))</f>
        <v/>
      </c>
    </row>
    <row r="7412">
      <c r="F7412">
        <f>F7411+1</f>
        <v/>
      </c>
      <c r="G7412" s="92">
        <f>EXP($C$12+$C$8*_xlfn.NORM.S.INV(RAND()))</f>
        <v/>
      </c>
    </row>
    <row r="7413">
      <c r="F7413">
        <f>F7412+1</f>
        <v/>
      </c>
      <c r="G7413" s="92">
        <f>EXP($C$12+$C$8*_xlfn.NORM.S.INV(RAND()))</f>
        <v/>
      </c>
    </row>
    <row r="7414">
      <c r="F7414">
        <f>F7413+1</f>
        <v/>
      </c>
      <c r="G7414" s="92">
        <f>EXP($C$12+$C$8*_xlfn.NORM.S.INV(RAND()))</f>
        <v/>
      </c>
    </row>
    <row r="7415">
      <c r="F7415">
        <f>F7414+1</f>
        <v/>
      </c>
      <c r="G7415" s="92">
        <f>EXP($C$12+$C$8*_xlfn.NORM.S.INV(RAND()))</f>
        <v/>
      </c>
    </row>
    <row r="7416">
      <c r="F7416">
        <f>F7415+1</f>
        <v/>
      </c>
      <c r="G7416" s="92">
        <f>EXP($C$12+$C$8*_xlfn.NORM.S.INV(RAND()))</f>
        <v/>
      </c>
    </row>
    <row r="7417">
      <c r="F7417">
        <f>F7416+1</f>
        <v/>
      </c>
      <c r="G7417" s="92">
        <f>EXP($C$12+$C$8*_xlfn.NORM.S.INV(RAND()))</f>
        <v/>
      </c>
    </row>
    <row r="7418">
      <c r="F7418">
        <f>F7417+1</f>
        <v/>
      </c>
      <c r="G7418" s="92">
        <f>EXP($C$12+$C$8*_xlfn.NORM.S.INV(RAND()))</f>
        <v/>
      </c>
    </row>
    <row r="7419">
      <c r="F7419">
        <f>F7418+1</f>
        <v/>
      </c>
      <c r="G7419" s="92">
        <f>EXP($C$12+$C$8*_xlfn.NORM.S.INV(RAND()))</f>
        <v/>
      </c>
    </row>
    <row r="7420">
      <c r="F7420">
        <f>F7419+1</f>
        <v/>
      </c>
      <c r="G7420" s="92">
        <f>EXP($C$12+$C$8*_xlfn.NORM.S.INV(RAND()))</f>
        <v/>
      </c>
    </row>
    <row r="7421">
      <c r="F7421">
        <f>F7420+1</f>
        <v/>
      </c>
      <c r="G7421" s="92">
        <f>EXP($C$12+$C$8*_xlfn.NORM.S.INV(RAND()))</f>
        <v/>
      </c>
    </row>
    <row r="7422">
      <c r="F7422">
        <f>F7421+1</f>
        <v/>
      </c>
      <c r="G7422" s="92">
        <f>EXP($C$12+$C$8*_xlfn.NORM.S.INV(RAND()))</f>
        <v/>
      </c>
    </row>
    <row r="7423">
      <c r="F7423">
        <f>F7422+1</f>
        <v/>
      </c>
      <c r="G7423" s="92">
        <f>EXP($C$12+$C$8*_xlfn.NORM.S.INV(RAND()))</f>
        <v/>
      </c>
    </row>
    <row r="7424">
      <c r="F7424">
        <f>F7423+1</f>
        <v/>
      </c>
      <c r="G7424" s="92">
        <f>EXP($C$12+$C$8*_xlfn.NORM.S.INV(RAND()))</f>
        <v/>
      </c>
    </row>
    <row r="7425">
      <c r="F7425">
        <f>F7424+1</f>
        <v/>
      </c>
      <c r="G7425" s="92">
        <f>EXP($C$12+$C$8*_xlfn.NORM.S.INV(RAND()))</f>
        <v/>
      </c>
    </row>
    <row r="7426">
      <c r="F7426">
        <f>F7425+1</f>
        <v/>
      </c>
      <c r="G7426" s="92">
        <f>EXP($C$12+$C$8*_xlfn.NORM.S.INV(RAND()))</f>
        <v/>
      </c>
    </row>
    <row r="7427">
      <c r="F7427">
        <f>F7426+1</f>
        <v/>
      </c>
      <c r="G7427" s="92">
        <f>EXP($C$12+$C$8*_xlfn.NORM.S.INV(RAND()))</f>
        <v/>
      </c>
    </row>
    <row r="7428">
      <c r="F7428">
        <f>F7427+1</f>
        <v/>
      </c>
      <c r="G7428" s="92">
        <f>EXP($C$12+$C$8*_xlfn.NORM.S.INV(RAND()))</f>
        <v/>
      </c>
    </row>
    <row r="7429">
      <c r="F7429">
        <f>F7428+1</f>
        <v/>
      </c>
      <c r="G7429" s="92">
        <f>EXP($C$12+$C$8*_xlfn.NORM.S.INV(RAND()))</f>
        <v/>
      </c>
    </row>
    <row r="7430">
      <c r="F7430">
        <f>F7429+1</f>
        <v/>
      </c>
      <c r="G7430" s="92">
        <f>EXP($C$12+$C$8*_xlfn.NORM.S.INV(RAND()))</f>
        <v/>
      </c>
    </row>
    <row r="7431">
      <c r="F7431">
        <f>F7430+1</f>
        <v/>
      </c>
      <c r="G7431" s="92">
        <f>EXP($C$12+$C$8*_xlfn.NORM.S.INV(RAND()))</f>
        <v/>
      </c>
    </row>
    <row r="7432">
      <c r="F7432">
        <f>F7431+1</f>
        <v/>
      </c>
      <c r="G7432" s="92">
        <f>EXP($C$12+$C$8*_xlfn.NORM.S.INV(RAND()))</f>
        <v/>
      </c>
    </row>
    <row r="7433">
      <c r="F7433">
        <f>F7432+1</f>
        <v/>
      </c>
      <c r="G7433" s="92">
        <f>EXP($C$12+$C$8*_xlfn.NORM.S.INV(RAND()))</f>
        <v/>
      </c>
    </row>
    <row r="7434">
      <c r="F7434">
        <f>F7433+1</f>
        <v/>
      </c>
      <c r="G7434" s="92">
        <f>EXP($C$12+$C$8*_xlfn.NORM.S.INV(RAND()))</f>
        <v/>
      </c>
    </row>
    <row r="7435">
      <c r="F7435">
        <f>F7434+1</f>
        <v/>
      </c>
      <c r="G7435" s="92">
        <f>EXP($C$12+$C$8*_xlfn.NORM.S.INV(RAND()))</f>
        <v/>
      </c>
    </row>
    <row r="7436">
      <c r="F7436">
        <f>F7435+1</f>
        <v/>
      </c>
      <c r="G7436" s="92">
        <f>EXP($C$12+$C$8*_xlfn.NORM.S.INV(RAND()))</f>
        <v/>
      </c>
    </row>
    <row r="7437">
      <c r="F7437">
        <f>F7436+1</f>
        <v/>
      </c>
      <c r="G7437" s="92">
        <f>EXP($C$12+$C$8*_xlfn.NORM.S.INV(RAND()))</f>
        <v/>
      </c>
    </row>
    <row r="7438">
      <c r="F7438">
        <f>F7437+1</f>
        <v/>
      </c>
      <c r="G7438" s="92">
        <f>EXP($C$12+$C$8*_xlfn.NORM.S.INV(RAND()))</f>
        <v/>
      </c>
    </row>
    <row r="7439">
      <c r="F7439">
        <f>F7438+1</f>
        <v/>
      </c>
      <c r="G7439" s="92">
        <f>EXP($C$12+$C$8*_xlfn.NORM.S.INV(RAND()))</f>
        <v/>
      </c>
    </row>
    <row r="7440">
      <c r="F7440">
        <f>F7439+1</f>
        <v/>
      </c>
      <c r="G7440" s="92">
        <f>EXP($C$12+$C$8*_xlfn.NORM.S.INV(RAND()))</f>
        <v/>
      </c>
    </row>
    <row r="7441">
      <c r="F7441">
        <f>F7440+1</f>
        <v/>
      </c>
      <c r="G7441" s="92">
        <f>EXP($C$12+$C$8*_xlfn.NORM.S.INV(RAND()))</f>
        <v/>
      </c>
    </row>
    <row r="7442">
      <c r="F7442">
        <f>F7441+1</f>
        <v/>
      </c>
      <c r="G7442" s="92">
        <f>EXP($C$12+$C$8*_xlfn.NORM.S.INV(RAND()))</f>
        <v/>
      </c>
    </row>
    <row r="7443">
      <c r="F7443">
        <f>F7442+1</f>
        <v/>
      </c>
      <c r="G7443" s="92">
        <f>EXP($C$12+$C$8*_xlfn.NORM.S.INV(RAND()))</f>
        <v/>
      </c>
    </row>
    <row r="7444">
      <c r="F7444">
        <f>F7443+1</f>
        <v/>
      </c>
      <c r="G7444" s="92">
        <f>EXP($C$12+$C$8*_xlfn.NORM.S.INV(RAND()))</f>
        <v/>
      </c>
    </row>
    <row r="7445">
      <c r="F7445">
        <f>F7444+1</f>
        <v/>
      </c>
      <c r="G7445" s="92">
        <f>EXP($C$12+$C$8*_xlfn.NORM.S.INV(RAND()))</f>
        <v/>
      </c>
    </row>
    <row r="7446">
      <c r="F7446">
        <f>F7445+1</f>
        <v/>
      </c>
      <c r="G7446" s="92">
        <f>EXP($C$12+$C$8*_xlfn.NORM.S.INV(RAND()))</f>
        <v/>
      </c>
    </row>
    <row r="7447">
      <c r="F7447">
        <f>F7446+1</f>
        <v/>
      </c>
      <c r="G7447" s="92">
        <f>EXP($C$12+$C$8*_xlfn.NORM.S.INV(RAND()))</f>
        <v/>
      </c>
    </row>
    <row r="7448">
      <c r="F7448">
        <f>F7447+1</f>
        <v/>
      </c>
      <c r="G7448" s="92">
        <f>EXP($C$12+$C$8*_xlfn.NORM.S.INV(RAND()))</f>
        <v/>
      </c>
    </row>
    <row r="7449">
      <c r="F7449">
        <f>F7448+1</f>
        <v/>
      </c>
      <c r="G7449" s="92">
        <f>EXP($C$12+$C$8*_xlfn.NORM.S.INV(RAND()))</f>
        <v/>
      </c>
    </row>
    <row r="7450">
      <c r="F7450">
        <f>F7449+1</f>
        <v/>
      </c>
      <c r="G7450" s="92">
        <f>EXP($C$12+$C$8*_xlfn.NORM.S.INV(RAND()))</f>
        <v/>
      </c>
    </row>
    <row r="7451">
      <c r="F7451">
        <f>F7450+1</f>
        <v/>
      </c>
      <c r="G7451" s="92">
        <f>EXP($C$12+$C$8*_xlfn.NORM.S.INV(RAND()))</f>
        <v/>
      </c>
    </row>
    <row r="7452">
      <c r="F7452">
        <f>F7451+1</f>
        <v/>
      </c>
      <c r="G7452" s="92">
        <f>EXP($C$12+$C$8*_xlfn.NORM.S.INV(RAND()))</f>
        <v/>
      </c>
    </row>
    <row r="7453">
      <c r="F7453">
        <f>F7452+1</f>
        <v/>
      </c>
      <c r="G7453" s="92">
        <f>EXP($C$12+$C$8*_xlfn.NORM.S.INV(RAND()))</f>
        <v/>
      </c>
    </row>
    <row r="7454">
      <c r="F7454">
        <f>F7453+1</f>
        <v/>
      </c>
      <c r="G7454" s="92">
        <f>EXP($C$12+$C$8*_xlfn.NORM.S.INV(RAND()))</f>
        <v/>
      </c>
    </row>
    <row r="7455">
      <c r="F7455">
        <f>F7454+1</f>
        <v/>
      </c>
      <c r="G7455" s="92">
        <f>EXP($C$12+$C$8*_xlfn.NORM.S.INV(RAND()))</f>
        <v/>
      </c>
    </row>
    <row r="7456">
      <c r="F7456">
        <f>F7455+1</f>
        <v/>
      </c>
      <c r="G7456" s="92">
        <f>EXP($C$12+$C$8*_xlfn.NORM.S.INV(RAND()))</f>
        <v/>
      </c>
    </row>
    <row r="7457">
      <c r="F7457">
        <f>F7456+1</f>
        <v/>
      </c>
      <c r="G7457" s="92">
        <f>EXP($C$12+$C$8*_xlfn.NORM.S.INV(RAND()))</f>
        <v/>
      </c>
    </row>
    <row r="7458">
      <c r="F7458">
        <f>F7457+1</f>
        <v/>
      </c>
      <c r="G7458" s="92">
        <f>EXP($C$12+$C$8*_xlfn.NORM.S.INV(RAND()))</f>
        <v/>
      </c>
    </row>
    <row r="7459">
      <c r="F7459">
        <f>F7458+1</f>
        <v/>
      </c>
      <c r="G7459" s="92">
        <f>EXP($C$12+$C$8*_xlfn.NORM.S.INV(RAND()))</f>
        <v/>
      </c>
    </row>
    <row r="7460">
      <c r="F7460">
        <f>F7459+1</f>
        <v/>
      </c>
      <c r="G7460" s="92">
        <f>EXP($C$12+$C$8*_xlfn.NORM.S.INV(RAND()))</f>
        <v/>
      </c>
    </row>
    <row r="7461">
      <c r="F7461">
        <f>F7460+1</f>
        <v/>
      </c>
      <c r="G7461" s="92">
        <f>EXP($C$12+$C$8*_xlfn.NORM.S.INV(RAND()))</f>
        <v/>
      </c>
    </row>
    <row r="7462">
      <c r="F7462">
        <f>F7461+1</f>
        <v/>
      </c>
      <c r="G7462" s="92">
        <f>EXP($C$12+$C$8*_xlfn.NORM.S.INV(RAND()))</f>
        <v/>
      </c>
    </row>
    <row r="7463">
      <c r="F7463">
        <f>F7462+1</f>
        <v/>
      </c>
      <c r="G7463" s="92">
        <f>EXP($C$12+$C$8*_xlfn.NORM.S.INV(RAND()))</f>
        <v/>
      </c>
    </row>
    <row r="7464">
      <c r="F7464">
        <f>F7463+1</f>
        <v/>
      </c>
      <c r="G7464" s="92">
        <f>EXP($C$12+$C$8*_xlfn.NORM.S.INV(RAND()))</f>
        <v/>
      </c>
    </row>
    <row r="7465">
      <c r="F7465">
        <f>F7464+1</f>
        <v/>
      </c>
      <c r="G7465" s="92">
        <f>EXP($C$12+$C$8*_xlfn.NORM.S.INV(RAND()))</f>
        <v/>
      </c>
    </row>
    <row r="7466">
      <c r="F7466">
        <f>F7465+1</f>
        <v/>
      </c>
      <c r="G7466" s="92">
        <f>EXP($C$12+$C$8*_xlfn.NORM.S.INV(RAND()))</f>
        <v/>
      </c>
    </row>
    <row r="7467">
      <c r="F7467">
        <f>F7466+1</f>
        <v/>
      </c>
      <c r="G7467" s="92">
        <f>EXP($C$12+$C$8*_xlfn.NORM.S.INV(RAND()))</f>
        <v/>
      </c>
    </row>
    <row r="7468">
      <c r="F7468">
        <f>F7467+1</f>
        <v/>
      </c>
      <c r="G7468" s="92">
        <f>EXP($C$12+$C$8*_xlfn.NORM.S.INV(RAND()))</f>
        <v/>
      </c>
    </row>
    <row r="7469">
      <c r="F7469">
        <f>F7468+1</f>
        <v/>
      </c>
      <c r="G7469" s="92">
        <f>EXP($C$12+$C$8*_xlfn.NORM.S.INV(RAND()))</f>
        <v/>
      </c>
    </row>
    <row r="7470">
      <c r="F7470">
        <f>F7469+1</f>
        <v/>
      </c>
      <c r="G7470" s="92">
        <f>EXP($C$12+$C$8*_xlfn.NORM.S.INV(RAND()))</f>
        <v/>
      </c>
    </row>
    <row r="7471">
      <c r="F7471">
        <f>F7470+1</f>
        <v/>
      </c>
      <c r="G7471" s="92">
        <f>EXP($C$12+$C$8*_xlfn.NORM.S.INV(RAND()))</f>
        <v/>
      </c>
    </row>
    <row r="7472">
      <c r="F7472">
        <f>F7471+1</f>
        <v/>
      </c>
      <c r="G7472" s="92">
        <f>EXP($C$12+$C$8*_xlfn.NORM.S.INV(RAND()))</f>
        <v/>
      </c>
    </row>
    <row r="7473">
      <c r="F7473">
        <f>F7472+1</f>
        <v/>
      </c>
      <c r="G7473" s="92">
        <f>EXP($C$12+$C$8*_xlfn.NORM.S.INV(RAND()))</f>
        <v/>
      </c>
    </row>
    <row r="7474">
      <c r="F7474">
        <f>F7473+1</f>
        <v/>
      </c>
      <c r="G7474" s="92">
        <f>EXP($C$12+$C$8*_xlfn.NORM.S.INV(RAND()))</f>
        <v/>
      </c>
    </row>
    <row r="7475">
      <c r="F7475">
        <f>F7474+1</f>
        <v/>
      </c>
      <c r="G7475" s="92">
        <f>EXP($C$12+$C$8*_xlfn.NORM.S.INV(RAND()))</f>
        <v/>
      </c>
    </row>
    <row r="7476">
      <c r="F7476">
        <f>F7475+1</f>
        <v/>
      </c>
      <c r="G7476" s="92">
        <f>EXP($C$12+$C$8*_xlfn.NORM.S.INV(RAND()))</f>
        <v/>
      </c>
    </row>
    <row r="7477">
      <c r="F7477">
        <f>F7476+1</f>
        <v/>
      </c>
      <c r="G7477" s="92">
        <f>EXP($C$12+$C$8*_xlfn.NORM.S.INV(RAND()))</f>
        <v/>
      </c>
    </row>
    <row r="7478">
      <c r="F7478">
        <f>F7477+1</f>
        <v/>
      </c>
      <c r="G7478" s="92">
        <f>EXP($C$12+$C$8*_xlfn.NORM.S.INV(RAND()))</f>
        <v/>
      </c>
    </row>
    <row r="7479">
      <c r="F7479">
        <f>F7478+1</f>
        <v/>
      </c>
      <c r="G7479" s="92">
        <f>EXP($C$12+$C$8*_xlfn.NORM.S.INV(RAND()))</f>
        <v/>
      </c>
    </row>
    <row r="7480">
      <c r="F7480">
        <f>F7479+1</f>
        <v/>
      </c>
      <c r="G7480" s="92">
        <f>EXP($C$12+$C$8*_xlfn.NORM.S.INV(RAND()))</f>
        <v/>
      </c>
    </row>
    <row r="7481">
      <c r="F7481">
        <f>F7480+1</f>
        <v/>
      </c>
      <c r="G7481" s="92">
        <f>EXP($C$12+$C$8*_xlfn.NORM.S.INV(RAND()))</f>
        <v/>
      </c>
    </row>
    <row r="7482">
      <c r="F7482">
        <f>F7481+1</f>
        <v/>
      </c>
      <c r="G7482" s="92">
        <f>EXP($C$12+$C$8*_xlfn.NORM.S.INV(RAND()))</f>
        <v/>
      </c>
    </row>
    <row r="7483">
      <c r="F7483">
        <f>F7482+1</f>
        <v/>
      </c>
      <c r="G7483" s="92">
        <f>EXP($C$12+$C$8*_xlfn.NORM.S.INV(RAND()))</f>
        <v/>
      </c>
    </row>
    <row r="7484">
      <c r="F7484">
        <f>F7483+1</f>
        <v/>
      </c>
      <c r="G7484" s="92">
        <f>EXP($C$12+$C$8*_xlfn.NORM.S.INV(RAND()))</f>
        <v/>
      </c>
    </row>
    <row r="7485">
      <c r="F7485">
        <f>F7484+1</f>
        <v/>
      </c>
      <c r="G7485" s="92">
        <f>EXP($C$12+$C$8*_xlfn.NORM.S.INV(RAND()))</f>
        <v/>
      </c>
    </row>
    <row r="7486">
      <c r="F7486">
        <f>F7485+1</f>
        <v/>
      </c>
      <c r="G7486" s="92">
        <f>EXP($C$12+$C$8*_xlfn.NORM.S.INV(RAND()))</f>
        <v/>
      </c>
    </row>
    <row r="7487">
      <c r="F7487">
        <f>F7486+1</f>
        <v/>
      </c>
      <c r="G7487" s="92">
        <f>EXP($C$12+$C$8*_xlfn.NORM.S.INV(RAND()))</f>
        <v/>
      </c>
    </row>
    <row r="7488">
      <c r="F7488">
        <f>F7487+1</f>
        <v/>
      </c>
      <c r="G7488" s="92">
        <f>EXP($C$12+$C$8*_xlfn.NORM.S.INV(RAND()))</f>
        <v/>
      </c>
    </row>
    <row r="7489">
      <c r="F7489">
        <f>F7488+1</f>
        <v/>
      </c>
      <c r="G7489" s="92">
        <f>EXP($C$12+$C$8*_xlfn.NORM.S.INV(RAND()))</f>
        <v/>
      </c>
    </row>
    <row r="7490">
      <c r="F7490">
        <f>F7489+1</f>
        <v/>
      </c>
      <c r="G7490" s="92">
        <f>EXP($C$12+$C$8*_xlfn.NORM.S.INV(RAND()))</f>
        <v/>
      </c>
    </row>
    <row r="7491">
      <c r="F7491">
        <f>F7490+1</f>
        <v/>
      </c>
      <c r="G7491" s="92">
        <f>EXP($C$12+$C$8*_xlfn.NORM.S.INV(RAND()))</f>
        <v/>
      </c>
    </row>
    <row r="7492">
      <c r="F7492">
        <f>F7491+1</f>
        <v/>
      </c>
      <c r="G7492" s="92">
        <f>EXP($C$12+$C$8*_xlfn.NORM.S.INV(RAND()))</f>
        <v/>
      </c>
    </row>
    <row r="7493">
      <c r="F7493">
        <f>F7492+1</f>
        <v/>
      </c>
      <c r="G7493" s="92">
        <f>EXP($C$12+$C$8*_xlfn.NORM.S.INV(RAND()))</f>
        <v/>
      </c>
    </row>
    <row r="7494">
      <c r="F7494">
        <f>F7493+1</f>
        <v/>
      </c>
      <c r="G7494" s="92">
        <f>EXP($C$12+$C$8*_xlfn.NORM.S.INV(RAND()))</f>
        <v/>
      </c>
    </row>
    <row r="7495">
      <c r="F7495">
        <f>F7494+1</f>
        <v/>
      </c>
      <c r="G7495" s="92">
        <f>EXP($C$12+$C$8*_xlfn.NORM.S.INV(RAND()))</f>
        <v/>
      </c>
    </row>
    <row r="7496">
      <c r="F7496">
        <f>F7495+1</f>
        <v/>
      </c>
      <c r="G7496" s="92">
        <f>EXP($C$12+$C$8*_xlfn.NORM.S.INV(RAND()))</f>
        <v/>
      </c>
    </row>
    <row r="7497">
      <c r="F7497">
        <f>F7496+1</f>
        <v/>
      </c>
      <c r="G7497" s="92">
        <f>EXP($C$12+$C$8*_xlfn.NORM.S.INV(RAND()))</f>
        <v/>
      </c>
    </row>
    <row r="7498">
      <c r="F7498">
        <f>F7497+1</f>
        <v/>
      </c>
      <c r="G7498" s="92">
        <f>EXP($C$12+$C$8*_xlfn.NORM.S.INV(RAND()))</f>
        <v/>
      </c>
    </row>
    <row r="7499">
      <c r="F7499">
        <f>F7498+1</f>
        <v/>
      </c>
      <c r="G7499" s="92">
        <f>EXP($C$12+$C$8*_xlfn.NORM.S.INV(RAND()))</f>
        <v/>
      </c>
    </row>
    <row r="7500">
      <c r="F7500">
        <f>F7499+1</f>
        <v/>
      </c>
      <c r="G7500" s="92">
        <f>EXP($C$12+$C$8*_xlfn.NORM.S.INV(RAND()))</f>
        <v/>
      </c>
    </row>
    <row r="7501">
      <c r="F7501">
        <f>F7500+1</f>
        <v/>
      </c>
      <c r="G7501" s="92">
        <f>EXP($C$12+$C$8*_xlfn.NORM.S.INV(RAND()))</f>
        <v/>
      </c>
    </row>
    <row r="7502">
      <c r="F7502">
        <f>F7501+1</f>
        <v/>
      </c>
      <c r="G7502" s="92">
        <f>EXP($C$12+$C$8*_xlfn.NORM.S.INV(RAND()))</f>
        <v/>
      </c>
    </row>
    <row r="7503">
      <c r="F7503">
        <f>F7502+1</f>
        <v/>
      </c>
      <c r="G7503" s="92">
        <f>EXP($C$12+$C$8*_xlfn.NORM.S.INV(RAND()))</f>
        <v/>
      </c>
    </row>
    <row r="7504">
      <c r="F7504">
        <f>F7503+1</f>
        <v/>
      </c>
      <c r="G7504" s="92">
        <f>EXP($C$12+$C$8*_xlfn.NORM.S.INV(RAND()))</f>
        <v/>
      </c>
    </row>
    <row r="7505">
      <c r="F7505">
        <f>F7504+1</f>
        <v/>
      </c>
      <c r="G7505" s="92">
        <f>EXP($C$12+$C$8*_xlfn.NORM.S.INV(RAND()))</f>
        <v/>
      </c>
    </row>
    <row r="7506">
      <c r="F7506">
        <f>F7505+1</f>
        <v/>
      </c>
      <c r="G7506" s="92">
        <f>EXP($C$12+$C$8*_xlfn.NORM.S.INV(RAND()))</f>
        <v/>
      </c>
    </row>
    <row r="7507">
      <c r="F7507">
        <f>F7506+1</f>
        <v/>
      </c>
      <c r="G7507" s="92">
        <f>EXP($C$12+$C$8*_xlfn.NORM.S.INV(RAND()))</f>
        <v/>
      </c>
    </row>
    <row r="7508">
      <c r="F7508">
        <f>F7507+1</f>
        <v/>
      </c>
      <c r="G7508" s="92">
        <f>EXP($C$12+$C$8*_xlfn.NORM.S.INV(RAND()))</f>
        <v/>
      </c>
    </row>
    <row r="7509">
      <c r="F7509">
        <f>F7508+1</f>
        <v/>
      </c>
      <c r="G7509" s="92">
        <f>EXP($C$12+$C$8*_xlfn.NORM.S.INV(RAND()))</f>
        <v/>
      </c>
    </row>
    <row r="7510">
      <c r="F7510">
        <f>F7509+1</f>
        <v/>
      </c>
      <c r="G7510" s="92">
        <f>EXP($C$12+$C$8*_xlfn.NORM.S.INV(RAND()))</f>
        <v/>
      </c>
    </row>
    <row r="7511">
      <c r="F7511">
        <f>F7510+1</f>
        <v/>
      </c>
      <c r="G7511" s="92">
        <f>EXP($C$12+$C$8*_xlfn.NORM.S.INV(RAND()))</f>
        <v/>
      </c>
    </row>
    <row r="7512">
      <c r="F7512">
        <f>F7511+1</f>
        <v/>
      </c>
      <c r="G7512" s="92">
        <f>EXP($C$12+$C$8*_xlfn.NORM.S.INV(RAND()))</f>
        <v/>
      </c>
    </row>
    <row r="7513">
      <c r="F7513">
        <f>F7512+1</f>
        <v/>
      </c>
      <c r="G7513" s="92">
        <f>EXP($C$12+$C$8*_xlfn.NORM.S.INV(RAND()))</f>
        <v/>
      </c>
    </row>
    <row r="7514">
      <c r="F7514">
        <f>F7513+1</f>
        <v/>
      </c>
      <c r="G7514" s="92">
        <f>EXP($C$12+$C$8*_xlfn.NORM.S.INV(RAND()))</f>
        <v/>
      </c>
    </row>
    <row r="7515">
      <c r="F7515">
        <f>F7514+1</f>
        <v/>
      </c>
      <c r="G7515" s="92">
        <f>EXP($C$12+$C$8*_xlfn.NORM.S.INV(RAND()))</f>
        <v/>
      </c>
    </row>
    <row r="7516">
      <c r="F7516">
        <f>F7515+1</f>
        <v/>
      </c>
      <c r="G7516" s="92">
        <f>EXP($C$12+$C$8*_xlfn.NORM.S.INV(RAND()))</f>
        <v/>
      </c>
    </row>
    <row r="7517">
      <c r="F7517">
        <f>F7516+1</f>
        <v/>
      </c>
      <c r="G7517" s="92">
        <f>EXP($C$12+$C$8*_xlfn.NORM.S.INV(RAND()))</f>
        <v/>
      </c>
    </row>
    <row r="7518">
      <c r="F7518">
        <f>F7517+1</f>
        <v/>
      </c>
      <c r="G7518" s="92">
        <f>EXP($C$12+$C$8*_xlfn.NORM.S.INV(RAND()))</f>
        <v/>
      </c>
    </row>
    <row r="7519">
      <c r="F7519">
        <f>F7518+1</f>
        <v/>
      </c>
      <c r="G7519" s="92">
        <f>EXP($C$12+$C$8*_xlfn.NORM.S.INV(RAND()))</f>
        <v/>
      </c>
    </row>
    <row r="7520">
      <c r="F7520">
        <f>F7519+1</f>
        <v/>
      </c>
      <c r="G7520" s="92">
        <f>EXP($C$12+$C$8*_xlfn.NORM.S.INV(RAND()))</f>
        <v/>
      </c>
    </row>
    <row r="7521">
      <c r="F7521">
        <f>F7520+1</f>
        <v/>
      </c>
      <c r="G7521" s="92">
        <f>EXP($C$12+$C$8*_xlfn.NORM.S.INV(RAND()))</f>
        <v/>
      </c>
    </row>
    <row r="7522">
      <c r="F7522">
        <f>F7521+1</f>
        <v/>
      </c>
      <c r="G7522" s="92">
        <f>EXP($C$12+$C$8*_xlfn.NORM.S.INV(RAND()))</f>
        <v/>
      </c>
    </row>
    <row r="7523">
      <c r="F7523">
        <f>F7522+1</f>
        <v/>
      </c>
      <c r="G7523" s="92">
        <f>EXP($C$12+$C$8*_xlfn.NORM.S.INV(RAND()))</f>
        <v/>
      </c>
    </row>
    <row r="7524">
      <c r="F7524">
        <f>F7523+1</f>
        <v/>
      </c>
      <c r="G7524" s="92">
        <f>EXP($C$12+$C$8*_xlfn.NORM.S.INV(RAND()))</f>
        <v/>
      </c>
    </row>
    <row r="7525">
      <c r="F7525">
        <f>F7524+1</f>
        <v/>
      </c>
      <c r="G7525" s="92">
        <f>EXP($C$12+$C$8*_xlfn.NORM.S.INV(RAND()))</f>
        <v/>
      </c>
    </row>
    <row r="7526">
      <c r="F7526">
        <f>F7525+1</f>
        <v/>
      </c>
      <c r="G7526" s="92">
        <f>EXP($C$12+$C$8*_xlfn.NORM.S.INV(RAND()))</f>
        <v/>
      </c>
    </row>
    <row r="7527">
      <c r="F7527">
        <f>F7526+1</f>
        <v/>
      </c>
      <c r="G7527" s="92">
        <f>EXP($C$12+$C$8*_xlfn.NORM.S.INV(RAND()))</f>
        <v/>
      </c>
    </row>
    <row r="7528">
      <c r="F7528">
        <f>F7527+1</f>
        <v/>
      </c>
      <c r="G7528" s="92">
        <f>EXP($C$12+$C$8*_xlfn.NORM.S.INV(RAND()))</f>
        <v/>
      </c>
    </row>
    <row r="7529">
      <c r="F7529">
        <f>F7528+1</f>
        <v/>
      </c>
      <c r="G7529" s="92">
        <f>EXP($C$12+$C$8*_xlfn.NORM.S.INV(RAND()))</f>
        <v/>
      </c>
    </row>
    <row r="7530">
      <c r="F7530">
        <f>F7529+1</f>
        <v/>
      </c>
      <c r="G7530" s="92">
        <f>EXP($C$12+$C$8*_xlfn.NORM.S.INV(RAND()))</f>
        <v/>
      </c>
    </row>
    <row r="7531">
      <c r="F7531">
        <f>F7530+1</f>
        <v/>
      </c>
      <c r="G7531" s="92">
        <f>EXP($C$12+$C$8*_xlfn.NORM.S.INV(RAND()))</f>
        <v/>
      </c>
    </row>
    <row r="7532">
      <c r="F7532">
        <f>F7531+1</f>
        <v/>
      </c>
      <c r="G7532" s="92">
        <f>EXP($C$12+$C$8*_xlfn.NORM.S.INV(RAND()))</f>
        <v/>
      </c>
    </row>
    <row r="7533">
      <c r="F7533">
        <f>F7532+1</f>
        <v/>
      </c>
      <c r="G7533" s="92">
        <f>EXP($C$12+$C$8*_xlfn.NORM.S.INV(RAND()))</f>
        <v/>
      </c>
    </row>
    <row r="7534">
      <c r="F7534">
        <f>F7533+1</f>
        <v/>
      </c>
      <c r="G7534" s="92">
        <f>EXP($C$12+$C$8*_xlfn.NORM.S.INV(RAND()))</f>
        <v/>
      </c>
    </row>
    <row r="7535">
      <c r="F7535">
        <f>F7534+1</f>
        <v/>
      </c>
      <c r="G7535" s="92">
        <f>EXP($C$12+$C$8*_xlfn.NORM.S.INV(RAND()))</f>
        <v/>
      </c>
    </row>
    <row r="7536">
      <c r="F7536">
        <f>F7535+1</f>
        <v/>
      </c>
      <c r="G7536" s="92">
        <f>EXP($C$12+$C$8*_xlfn.NORM.S.INV(RAND()))</f>
        <v/>
      </c>
    </row>
    <row r="7537">
      <c r="F7537">
        <f>F7536+1</f>
        <v/>
      </c>
      <c r="G7537" s="92">
        <f>EXP($C$12+$C$8*_xlfn.NORM.S.INV(RAND()))</f>
        <v/>
      </c>
    </row>
    <row r="7538">
      <c r="F7538">
        <f>F7537+1</f>
        <v/>
      </c>
      <c r="G7538" s="92">
        <f>EXP($C$12+$C$8*_xlfn.NORM.S.INV(RAND()))</f>
        <v/>
      </c>
    </row>
    <row r="7539">
      <c r="F7539">
        <f>F7538+1</f>
        <v/>
      </c>
      <c r="G7539" s="92">
        <f>EXP($C$12+$C$8*_xlfn.NORM.S.INV(RAND()))</f>
        <v/>
      </c>
    </row>
    <row r="7540">
      <c r="F7540">
        <f>F7539+1</f>
        <v/>
      </c>
      <c r="G7540" s="92">
        <f>EXP($C$12+$C$8*_xlfn.NORM.S.INV(RAND()))</f>
        <v/>
      </c>
    </row>
    <row r="7541">
      <c r="F7541">
        <f>F7540+1</f>
        <v/>
      </c>
      <c r="G7541" s="92">
        <f>EXP($C$12+$C$8*_xlfn.NORM.S.INV(RAND()))</f>
        <v/>
      </c>
    </row>
    <row r="7542">
      <c r="F7542">
        <f>F7541+1</f>
        <v/>
      </c>
      <c r="G7542" s="92">
        <f>EXP($C$12+$C$8*_xlfn.NORM.S.INV(RAND()))</f>
        <v/>
      </c>
    </row>
    <row r="7543">
      <c r="F7543">
        <f>F7542+1</f>
        <v/>
      </c>
      <c r="G7543" s="92">
        <f>EXP($C$12+$C$8*_xlfn.NORM.S.INV(RAND()))</f>
        <v/>
      </c>
    </row>
    <row r="7544">
      <c r="F7544">
        <f>F7543+1</f>
        <v/>
      </c>
      <c r="G7544" s="92">
        <f>EXP($C$12+$C$8*_xlfn.NORM.S.INV(RAND()))</f>
        <v/>
      </c>
    </row>
    <row r="7545">
      <c r="F7545">
        <f>F7544+1</f>
        <v/>
      </c>
      <c r="G7545" s="92">
        <f>EXP($C$12+$C$8*_xlfn.NORM.S.INV(RAND()))</f>
        <v/>
      </c>
    </row>
    <row r="7546">
      <c r="F7546">
        <f>F7545+1</f>
        <v/>
      </c>
      <c r="G7546" s="92">
        <f>EXP($C$12+$C$8*_xlfn.NORM.S.INV(RAND()))</f>
        <v/>
      </c>
    </row>
    <row r="7547">
      <c r="F7547">
        <f>F7546+1</f>
        <v/>
      </c>
      <c r="G7547" s="92">
        <f>EXP($C$12+$C$8*_xlfn.NORM.S.INV(RAND()))</f>
        <v/>
      </c>
    </row>
    <row r="7548">
      <c r="F7548">
        <f>F7547+1</f>
        <v/>
      </c>
      <c r="G7548" s="92">
        <f>EXP($C$12+$C$8*_xlfn.NORM.S.INV(RAND()))</f>
        <v/>
      </c>
    </row>
    <row r="7549">
      <c r="F7549">
        <f>F7548+1</f>
        <v/>
      </c>
      <c r="G7549" s="92">
        <f>EXP($C$12+$C$8*_xlfn.NORM.S.INV(RAND()))</f>
        <v/>
      </c>
    </row>
    <row r="7550">
      <c r="F7550">
        <f>F7549+1</f>
        <v/>
      </c>
      <c r="G7550" s="92">
        <f>EXP($C$12+$C$8*_xlfn.NORM.S.INV(RAND()))</f>
        <v/>
      </c>
    </row>
    <row r="7551">
      <c r="F7551">
        <f>F7550+1</f>
        <v/>
      </c>
      <c r="G7551" s="92">
        <f>EXP($C$12+$C$8*_xlfn.NORM.S.INV(RAND()))</f>
        <v/>
      </c>
    </row>
    <row r="7552">
      <c r="F7552">
        <f>F7551+1</f>
        <v/>
      </c>
      <c r="G7552" s="92">
        <f>EXP($C$12+$C$8*_xlfn.NORM.S.INV(RAND()))</f>
        <v/>
      </c>
    </row>
    <row r="7553">
      <c r="F7553">
        <f>F7552+1</f>
        <v/>
      </c>
      <c r="G7553" s="92">
        <f>EXP($C$12+$C$8*_xlfn.NORM.S.INV(RAND()))</f>
        <v/>
      </c>
    </row>
    <row r="7554">
      <c r="F7554">
        <f>F7553+1</f>
        <v/>
      </c>
      <c r="G7554" s="92">
        <f>EXP($C$12+$C$8*_xlfn.NORM.S.INV(RAND()))</f>
        <v/>
      </c>
    </row>
    <row r="7555">
      <c r="F7555">
        <f>F7554+1</f>
        <v/>
      </c>
      <c r="G7555" s="92">
        <f>EXP($C$12+$C$8*_xlfn.NORM.S.INV(RAND()))</f>
        <v/>
      </c>
    </row>
    <row r="7556">
      <c r="F7556">
        <f>F7555+1</f>
        <v/>
      </c>
      <c r="G7556" s="92">
        <f>EXP($C$12+$C$8*_xlfn.NORM.S.INV(RAND()))</f>
        <v/>
      </c>
    </row>
    <row r="7557">
      <c r="F7557">
        <f>F7556+1</f>
        <v/>
      </c>
      <c r="G7557" s="92">
        <f>EXP($C$12+$C$8*_xlfn.NORM.S.INV(RAND()))</f>
        <v/>
      </c>
    </row>
    <row r="7558">
      <c r="F7558">
        <f>F7557+1</f>
        <v/>
      </c>
      <c r="G7558" s="92">
        <f>EXP($C$12+$C$8*_xlfn.NORM.S.INV(RAND()))</f>
        <v/>
      </c>
    </row>
    <row r="7559">
      <c r="F7559">
        <f>F7558+1</f>
        <v/>
      </c>
      <c r="G7559" s="92">
        <f>EXP($C$12+$C$8*_xlfn.NORM.S.INV(RAND()))</f>
        <v/>
      </c>
    </row>
    <row r="7560">
      <c r="F7560">
        <f>F7559+1</f>
        <v/>
      </c>
      <c r="G7560" s="92">
        <f>EXP($C$12+$C$8*_xlfn.NORM.S.INV(RAND()))</f>
        <v/>
      </c>
    </row>
    <row r="7561">
      <c r="F7561">
        <f>F7560+1</f>
        <v/>
      </c>
      <c r="G7561" s="92">
        <f>EXP($C$12+$C$8*_xlfn.NORM.S.INV(RAND()))</f>
        <v/>
      </c>
    </row>
    <row r="7562">
      <c r="F7562">
        <f>F7561+1</f>
        <v/>
      </c>
      <c r="G7562" s="92">
        <f>EXP($C$12+$C$8*_xlfn.NORM.S.INV(RAND()))</f>
        <v/>
      </c>
    </row>
    <row r="7563">
      <c r="F7563">
        <f>F7562+1</f>
        <v/>
      </c>
      <c r="G7563" s="92">
        <f>EXP($C$12+$C$8*_xlfn.NORM.S.INV(RAND()))</f>
        <v/>
      </c>
    </row>
    <row r="7564">
      <c r="F7564">
        <f>F7563+1</f>
        <v/>
      </c>
      <c r="G7564" s="92">
        <f>EXP($C$12+$C$8*_xlfn.NORM.S.INV(RAND()))</f>
        <v/>
      </c>
    </row>
    <row r="7565">
      <c r="F7565">
        <f>F7564+1</f>
        <v/>
      </c>
      <c r="G7565" s="92">
        <f>EXP($C$12+$C$8*_xlfn.NORM.S.INV(RAND()))</f>
        <v/>
      </c>
    </row>
    <row r="7566">
      <c r="F7566">
        <f>F7565+1</f>
        <v/>
      </c>
      <c r="G7566" s="92">
        <f>EXP($C$12+$C$8*_xlfn.NORM.S.INV(RAND()))</f>
        <v/>
      </c>
    </row>
    <row r="7567">
      <c r="F7567">
        <f>F7566+1</f>
        <v/>
      </c>
      <c r="G7567" s="92">
        <f>EXP($C$12+$C$8*_xlfn.NORM.S.INV(RAND()))</f>
        <v/>
      </c>
    </row>
    <row r="7568">
      <c r="F7568">
        <f>F7567+1</f>
        <v/>
      </c>
      <c r="G7568" s="92">
        <f>EXP($C$12+$C$8*_xlfn.NORM.S.INV(RAND()))</f>
        <v/>
      </c>
    </row>
    <row r="7569">
      <c r="F7569">
        <f>F7568+1</f>
        <v/>
      </c>
      <c r="G7569" s="92">
        <f>EXP($C$12+$C$8*_xlfn.NORM.S.INV(RAND()))</f>
        <v/>
      </c>
    </row>
    <row r="7570">
      <c r="F7570">
        <f>F7569+1</f>
        <v/>
      </c>
      <c r="G7570" s="92">
        <f>EXP($C$12+$C$8*_xlfn.NORM.S.INV(RAND()))</f>
        <v/>
      </c>
    </row>
    <row r="7571">
      <c r="F7571">
        <f>F7570+1</f>
        <v/>
      </c>
      <c r="G7571" s="92">
        <f>EXP($C$12+$C$8*_xlfn.NORM.S.INV(RAND()))</f>
        <v/>
      </c>
    </row>
    <row r="7572">
      <c r="F7572">
        <f>F7571+1</f>
        <v/>
      </c>
      <c r="G7572" s="92">
        <f>EXP($C$12+$C$8*_xlfn.NORM.S.INV(RAND()))</f>
        <v/>
      </c>
    </row>
    <row r="7573">
      <c r="F7573">
        <f>F7572+1</f>
        <v/>
      </c>
      <c r="G7573" s="92">
        <f>EXP($C$12+$C$8*_xlfn.NORM.S.INV(RAND()))</f>
        <v/>
      </c>
    </row>
    <row r="7574">
      <c r="F7574">
        <f>F7573+1</f>
        <v/>
      </c>
      <c r="G7574" s="92">
        <f>EXP($C$12+$C$8*_xlfn.NORM.S.INV(RAND()))</f>
        <v/>
      </c>
    </row>
    <row r="7575">
      <c r="F7575">
        <f>F7574+1</f>
        <v/>
      </c>
      <c r="G7575" s="92">
        <f>EXP($C$12+$C$8*_xlfn.NORM.S.INV(RAND()))</f>
        <v/>
      </c>
    </row>
    <row r="7576">
      <c r="F7576">
        <f>F7575+1</f>
        <v/>
      </c>
      <c r="G7576" s="92">
        <f>EXP($C$12+$C$8*_xlfn.NORM.S.INV(RAND()))</f>
        <v/>
      </c>
    </row>
    <row r="7577">
      <c r="F7577">
        <f>F7576+1</f>
        <v/>
      </c>
      <c r="G7577" s="92">
        <f>EXP($C$12+$C$8*_xlfn.NORM.S.INV(RAND()))</f>
        <v/>
      </c>
    </row>
    <row r="7578">
      <c r="F7578">
        <f>F7577+1</f>
        <v/>
      </c>
      <c r="G7578" s="92">
        <f>EXP($C$12+$C$8*_xlfn.NORM.S.INV(RAND()))</f>
        <v/>
      </c>
    </row>
    <row r="7579">
      <c r="F7579">
        <f>F7578+1</f>
        <v/>
      </c>
      <c r="G7579" s="92">
        <f>EXP($C$12+$C$8*_xlfn.NORM.S.INV(RAND()))</f>
        <v/>
      </c>
    </row>
    <row r="7580">
      <c r="F7580">
        <f>F7579+1</f>
        <v/>
      </c>
      <c r="G7580" s="92">
        <f>EXP($C$12+$C$8*_xlfn.NORM.S.INV(RAND()))</f>
        <v/>
      </c>
    </row>
    <row r="7581">
      <c r="F7581">
        <f>F7580+1</f>
        <v/>
      </c>
      <c r="G7581" s="92">
        <f>EXP($C$12+$C$8*_xlfn.NORM.S.INV(RAND()))</f>
        <v/>
      </c>
    </row>
    <row r="7582">
      <c r="F7582">
        <f>F7581+1</f>
        <v/>
      </c>
      <c r="G7582" s="92">
        <f>EXP($C$12+$C$8*_xlfn.NORM.S.INV(RAND()))</f>
        <v/>
      </c>
    </row>
    <row r="7583">
      <c r="F7583">
        <f>F7582+1</f>
        <v/>
      </c>
      <c r="G7583" s="92">
        <f>EXP($C$12+$C$8*_xlfn.NORM.S.INV(RAND()))</f>
        <v/>
      </c>
    </row>
    <row r="7584">
      <c r="F7584">
        <f>F7583+1</f>
        <v/>
      </c>
      <c r="G7584" s="92">
        <f>EXP($C$12+$C$8*_xlfn.NORM.S.INV(RAND()))</f>
        <v/>
      </c>
    </row>
    <row r="7585">
      <c r="F7585">
        <f>F7584+1</f>
        <v/>
      </c>
      <c r="G7585" s="92">
        <f>EXP($C$12+$C$8*_xlfn.NORM.S.INV(RAND()))</f>
        <v/>
      </c>
    </row>
    <row r="7586">
      <c r="F7586">
        <f>F7585+1</f>
        <v/>
      </c>
      <c r="G7586" s="92">
        <f>EXP($C$12+$C$8*_xlfn.NORM.S.INV(RAND()))</f>
        <v/>
      </c>
    </row>
    <row r="7587">
      <c r="F7587">
        <f>F7586+1</f>
        <v/>
      </c>
      <c r="G7587" s="92">
        <f>EXP($C$12+$C$8*_xlfn.NORM.S.INV(RAND()))</f>
        <v/>
      </c>
    </row>
    <row r="7588">
      <c r="F7588">
        <f>F7587+1</f>
        <v/>
      </c>
      <c r="G7588" s="92">
        <f>EXP($C$12+$C$8*_xlfn.NORM.S.INV(RAND()))</f>
        <v/>
      </c>
    </row>
    <row r="7589">
      <c r="F7589">
        <f>F7588+1</f>
        <v/>
      </c>
      <c r="G7589" s="92">
        <f>EXP($C$12+$C$8*_xlfn.NORM.S.INV(RAND()))</f>
        <v/>
      </c>
    </row>
    <row r="7590">
      <c r="F7590">
        <f>F7589+1</f>
        <v/>
      </c>
      <c r="G7590" s="92">
        <f>EXP($C$12+$C$8*_xlfn.NORM.S.INV(RAND()))</f>
        <v/>
      </c>
    </row>
    <row r="7591">
      <c r="F7591">
        <f>F7590+1</f>
        <v/>
      </c>
      <c r="G7591" s="92">
        <f>EXP($C$12+$C$8*_xlfn.NORM.S.INV(RAND()))</f>
        <v/>
      </c>
    </row>
    <row r="7592">
      <c r="F7592">
        <f>F7591+1</f>
        <v/>
      </c>
      <c r="G7592" s="92">
        <f>EXP($C$12+$C$8*_xlfn.NORM.S.INV(RAND()))</f>
        <v/>
      </c>
    </row>
    <row r="7593">
      <c r="F7593">
        <f>F7592+1</f>
        <v/>
      </c>
      <c r="G7593" s="92">
        <f>EXP($C$12+$C$8*_xlfn.NORM.S.INV(RAND()))</f>
        <v/>
      </c>
    </row>
    <row r="7594">
      <c r="F7594">
        <f>F7593+1</f>
        <v/>
      </c>
      <c r="G7594" s="92">
        <f>EXP($C$12+$C$8*_xlfn.NORM.S.INV(RAND()))</f>
        <v/>
      </c>
    </row>
    <row r="7595">
      <c r="F7595">
        <f>F7594+1</f>
        <v/>
      </c>
      <c r="G7595" s="92">
        <f>EXP($C$12+$C$8*_xlfn.NORM.S.INV(RAND()))</f>
        <v/>
      </c>
    </row>
    <row r="7596">
      <c r="F7596">
        <f>F7595+1</f>
        <v/>
      </c>
      <c r="G7596" s="92">
        <f>EXP($C$12+$C$8*_xlfn.NORM.S.INV(RAND()))</f>
        <v/>
      </c>
    </row>
    <row r="7597">
      <c r="F7597">
        <f>F7596+1</f>
        <v/>
      </c>
      <c r="G7597" s="92">
        <f>EXP($C$12+$C$8*_xlfn.NORM.S.INV(RAND()))</f>
        <v/>
      </c>
    </row>
    <row r="7598">
      <c r="F7598">
        <f>F7597+1</f>
        <v/>
      </c>
      <c r="G7598" s="92">
        <f>EXP($C$12+$C$8*_xlfn.NORM.S.INV(RAND()))</f>
        <v/>
      </c>
    </row>
    <row r="7599">
      <c r="F7599">
        <f>F7598+1</f>
        <v/>
      </c>
      <c r="G7599" s="92">
        <f>EXP($C$12+$C$8*_xlfn.NORM.S.INV(RAND()))</f>
        <v/>
      </c>
    </row>
    <row r="7600">
      <c r="F7600">
        <f>F7599+1</f>
        <v/>
      </c>
      <c r="G7600" s="92">
        <f>EXP($C$12+$C$8*_xlfn.NORM.S.INV(RAND()))</f>
        <v/>
      </c>
    </row>
    <row r="7601">
      <c r="F7601">
        <f>F7600+1</f>
        <v/>
      </c>
      <c r="G7601" s="92">
        <f>EXP($C$12+$C$8*_xlfn.NORM.S.INV(RAND()))</f>
        <v/>
      </c>
    </row>
    <row r="7602">
      <c r="F7602">
        <f>F7601+1</f>
        <v/>
      </c>
      <c r="G7602" s="92">
        <f>EXP($C$12+$C$8*_xlfn.NORM.S.INV(RAND()))</f>
        <v/>
      </c>
    </row>
    <row r="7603">
      <c r="F7603">
        <f>F7602+1</f>
        <v/>
      </c>
      <c r="G7603" s="92">
        <f>EXP($C$12+$C$8*_xlfn.NORM.S.INV(RAND()))</f>
        <v/>
      </c>
    </row>
    <row r="7604">
      <c r="F7604">
        <f>F7603+1</f>
        <v/>
      </c>
      <c r="G7604" s="92">
        <f>EXP($C$12+$C$8*_xlfn.NORM.S.INV(RAND()))</f>
        <v/>
      </c>
    </row>
    <row r="7605">
      <c r="F7605">
        <f>F7604+1</f>
        <v/>
      </c>
      <c r="G7605" s="92">
        <f>EXP($C$12+$C$8*_xlfn.NORM.S.INV(RAND()))</f>
        <v/>
      </c>
    </row>
    <row r="7606">
      <c r="F7606">
        <f>F7605+1</f>
        <v/>
      </c>
      <c r="G7606" s="92">
        <f>EXP($C$12+$C$8*_xlfn.NORM.S.INV(RAND()))</f>
        <v/>
      </c>
    </row>
    <row r="7607">
      <c r="F7607">
        <f>F7606+1</f>
        <v/>
      </c>
      <c r="G7607" s="92">
        <f>EXP($C$12+$C$8*_xlfn.NORM.S.INV(RAND()))</f>
        <v/>
      </c>
    </row>
    <row r="7608">
      <c r="F7608">
        <f>F7607+1</f>
        <v/>
      </c>
      <c r="G7608" s="92">
        <f>EXP($C$12+$C$8*_xlfn.NORM.S.INV(RAND()))</f>
        <v/>
      </c>
    </row>
    <row r="7609">
      <c r="F7609">
        <f>F7608+1</f>
        <v/>
      </c>
      <c r="G7609" s="92">
        <f>EXP($C$12+$C$8*_xlfn.NORM.S.INV(RAND()))</f>
        <v/>
      </c>
    </row>
    <row r="7610">
      <c r="F7610">
        <f>F7609+1</f>
        <v/>
      </c>
      <c r="G7610" s="92">
        <f>EXP($C$12+$C$8*_xlfn.NORM.S.INV(RAND()))</f>
        <v/>
      </c>
    </row>
    <row r="7611">
      <c r="F7611">
        <f>F7610+1</f>
        <v/>
      </c>
      <c r="G7611" s="92">
        <f>EXP($C$12+$C$8*_xlfn.NORM.S.INV(RAND()))</f>
        <v/>
      </c>
    </row>
    <row r="7612">
      <c r="F7612">
        <f>F7611+1</f>
        <v/>
      </c>
      <c r="G7612" s="92">
        <f>EXP($C$12+$C$8*_xlfn.NORM.S.INV(RAND()))</f>
        <v/>
      </c>
    </row>
    <row r="7613">
      <c r="F7613">
        <f>F7612+1</f>
        <v/>
      </c>
      <c r="G7613" s="92">
        <f>EXP($C$12+$C$8*_xlfn.NORM.S.INV(RAND()))</f>
        <v/>
      </c>
    </row>
    <row r="7614">
      <c r="F7614">
        <f>F7613+1</f>
        <v/>
      </c>
      <c r="G7614" s="92">
        <f>EXP($C$12+$C$8*_xlfn.NORM.S.INV(RAND()))</f>
        <v/>
      </c>
    </row>
    <row r="7615">
      <c r="F7615">
        <f>F7614+1</f>
        <v/>
      </c>
      <c r="G7615" s="92">
        <f>EXP($C$12+$C$8*_xlfn.NORM.S.INV(RAND()))</f>
        <v/>
      </c>
    </row>
    <row r="7616">
      <c r="F7616">
        <f>F7615+1</f>
        <v/>
      </c>
      <c r="G7616" s="92">
        <f>EXP($C$12+$C$8*_xlfn.NORM.S.INV(RAND()))</f>
        <v/>
      </c>
    </row>
    <row r="7617">
      <c r="F7617">
        <f>F7616+1</f>
        <v/>
      </c>
      <c r="G7617" s="92">
        <f>EXP($C$12+$C$8*_xlfn.NORM.S.INV(RAND()))</f>
        <v/>
      </c>
    </row>
    <row r="7618">
      <c r="F7618">
        <f>F7617+1</f>
        <v/>
      </c>
      <c r="G7618" s="92">
        <f>EXP($C$12+$C$8*_xlfn.NORM.S.INV(RAND()))</f>
        <v/>
      </c>
    </row>
    <row r="7619">
      <c r="F7619">
        <f>F7618+1</f>
        <v/>
      </c>
      <c r="G7619" s="92">
        <f>EXP($C$12+$C$8*_xlfn.NORM.S.INV(RAND()))</f>
        <v/>
      </c>
    </row>
    <row r="7620">
      <c r="F7620">
        <f>F7619+1</f>
        <v/>
      </c>
      <c r="G7620" s="92">
        <f>EXP($C$12+$C$8*_xlfn.NORM.S.INV(RAND()))</f>
        <v/>
      </c>
    </row>
    <row r="7621">
      <c r="F7621">
        <f>F7620+1</f>
        <v/>
      </c>
      <c r="G7621" s="92">
        <f>EXP($C$12+$C$8*_xlfn.NORM.S.INV(RAND()))</f>
        <v/>
      </c>
    </row>
    <row r="7622">
      <c r="F7622">
        <f>F7621+1</f>
        <v/>
      </c>
      <c r="G7622" s="92">
        <f>EXP($C$12+$C$8*_xlfn.NORM.S.INV(RAND()))</f>
        <v/>
      </c>
    </row>
    <row r="7623">
      <c r="F7623">
        <f>F7622+1</f>
        <v/>
      </c>
      <c r="G7623" s="92">
        <f>EXP($C$12+$C$8*_xlfn.NORM.S.INV(RAND()))</f>
        <v/>
      </c>
    </row>
    <row r="7624">
      <c r="F7624">
        <f>F7623+1</f>
        <v/>
      </c>
      <c r="G7624" s="92">
        <f>EXP($C$12+$C$8*_xlfn.NORM.S.INV(RAND()))</f>
        <v/>
      </c>
    </row>
    <row r="7625">
      <c r="F7625">
        <f>F7624+1</f>
        <v/>
      </c>
      <c r="G7625" s="92">
        <f>EXP($C$12+$C$8*_xlfn.NORM.S.INV(RAND()))</f>
        <v/>
      </c>
    </row>
    <row r="7626">
      <c r="F7626">
        <f>F7625+1</f>
        <v/>
      </c>
      <c r="G7626" s="92">
        <f>EXP($C$12+$C$8*_xlfn.NORM.S.INV(RAND()))</f>
        <v/>
      </c>
    </row>
    <row r="7627">
      <c r="F7627">
        <f>F7626+1</f>
        <v/>
      </c>
      <c r="G7627" s="92">
        <f>EXP($C$12+$C$8*_xlfn.NORM.S.INV(RAND()))</f>
        <v/>
      </c>
    </row>
    <row r="7628">
      <c r="F7628">
        <f>F7627+1</f>
        <v/>
      </c>
      <c r="G7628" s="92">
        <f>EXP($C$12+$C$8*_xlfn.NORM.S.INV(RAND()))</f>
        <v/>
      </c>
    </row>
    <row r="7629">
      <c r="F7629">
        <f>F7628+1</f>
        <v/>
      </c>
      <c r="G7629" s="92">
        <f>EXP($C$12+$C$8*_xlfn.NORM.S.INV(RAND()))</f>
        <v/>
      </c>
    </row>
    <row r="7630">
      <c r="F7630">
        <f>F7629+1</f>
        <v/>
      </c>
      <c r="G7630" s="92">
        <f>EXP($C$12+$C$8*_xlfn.NORM.S.INV(RAND()))</f>
        <v/>
      </c>
    </row>
    <row r="7631">
      <c r="F7631">
        <f>F7630+1</f>
        <v/>
      </c>
      <c r="G7631" s="92">
        <f>EXP($C$12+$C$8*_xlfn.NORM.S.INV(RAND()))</f>
        <v/>
      </c>
    </row>
    <row r="7632">
      <c r="F7632">
        <f>F7631+1</f>
        <v/>
      </c>
      <c r="G7632" s="92">
        <f>EXP($C$12+$C$8*_xlfn.NORM.S.INV(RAND()))</f>
        <v/>
      </c>
    </row>
    <row r="7633">
      <c r="F7633">
        <f>F7632+1</f>
        <v/>
      </c>
      <c r="G7633" s="92">
        <f>EXP($C$12+$C$8*_xlfn.NORM.S.INV(RAND()))</f>
        <v/>
      </c>
    </row>
    <row r="7634">
      <c r="F7634">
        <f>F7633+1</f>
        <v/>
      </c>
      <c r="G7634" s="92">
        <f>EXP($C$12+$C$8*_xlfn.NORM.S.INV(RAND()))</f>
        <v/>
      </c>
    </row>
    <row r="7635">
      <c r="F7635">
        <f>F7634+1</f>
        <v/>
      </c>
      <c r="G7635" s="92">
        <f>EXP($C$12+$C$8*_xlfn.NORM.S.INV(RAND()))</f>
        <v/>
      </c>
    </row>
    <row r="7636">
      <c r="F7636">
        <f>F7635+1</f>
        <v/>
      </c>
      <c r="G7636" s="92">
        <f>EXP($C$12+$C$8*_xlfn.NORM.S.INV(RAND()))</f>
        <v/>
      </c>
    </row>
    <row r="7637">
      <c r="F7637">
        <f>F7636+1</f>
        <v/>
      </c>
      <c r="G7637" s="92">
        <f>EXP($C$12+$C$8*_xlfn.NORM.S.INV(RAND()))</f>
        <v/>
      </c>
    </row>
    <row r="7638">
      <c r="F7638">
        <f>F7637+1</f>
        <v/>
      </c>
      <c r="G7638" s="92">
        <f>EXP($C$12+$C$8*_xlfn.NORM.S.INV(RAND()))</f>
        <v/>
      </c>
    </row>
    <row r="7639">
      <c r="F7639">
        <f>F7638+1</f>
        <v/>
      </c>
      <c r="G7639" s="92">
        <f>EXP($C$12+$C$8*_xlfn.NORM.S.INV(RAND()))</f>
        <v/>
      </c>
    </row>
    <row r="7640">
      <c r="F7640">
        <f>F7639+1</f>
        <v/>
      </c>
      <c r="G7640" s="92">
        <f>EXP($C$12+$C$8*_xlfn.NORM.S.INV(RAND()))</f>
        <v/>
      </c>
    </row>
    <row r="7641">
      <c r="F7641">
        <f>F7640+1</f>
        <v/>
      </c>
      <c r="G7641" s="92">
        <f>EXP($C$12+$C$8*_xlfn.NORM.S.INV(RAND()))</f>
        <v/>
      </c>
    </row>
    <row r="7642">
      <c r="F7642">
        <f>F7641+1</f>
        <v/>
      </c>
      <c r="G7642" s="92">
        <f>EXP($C$12+$C$8*_xlfn.NORM.S.INV(RAND()))</f>
        <v/>
      </c>
    </row>
    <row r="7643">
      <c r="F7643">
        <f>F7642+1</f>
        <v/>
      </c>
      <c r="G7643" s="92">
        <f>EXP($C$12+$C$8*_xlfn.NORM.S.INV(RAND()))</f>
        <v/>
      </c>
    </row>
    <row r="7644">
      <c r="F7644">
        <f>F7643+1</f>
        <v/>
      </c>
      <c r="G7644" s="92">
        <f>EXP($C$12+$C$8*_xlfn.NORM.S.INV(RAND()))</f>
        <v/>
      </c>
    </row>
    <row r="7645">
      <c r="F7645">
        <f>F7644+1</f>
        <v/>
      </c>
      <c r="G7645" s="92">
        <f>EXP($C$12+$C$8*_xlfn.NORM.S.INV(RAND()))</f>
        <v/>
      </c>
    </row>
    <row r="7646">
      <c r="F7646">
        <f>F7645+1</f>
        <v/>
      </c>
      <c r="G7646" s="92">
        <f>EXP($C$12+$C$8*_xlfn.NORM.S.INV(RAND()))</f>
        <v/>
      </c>
    </row>
    <row r="7647">
      <c r="F7647">
        <f>F7646+1</f>
        <v/>
      </c>
      <c r="G7647" s="92">
        <f>EXP($C$12+$C$8*_xlfn.NORM.S.INV(RAND()))</f>
        <v/>
      </c>
    </row>
    <row r="7648">
      <c r="F7648">
        <f>F7647+1</f>
        <v/>
      </c>
      <c r="G7648" s="92">
        <f>EXP($C$12+$C$8*_xlfn.NORM.S.INV(RAND()))</f>
        <v/>
      </c>
    </row>
    <row r="7649">
      <c r="F7649">
        <f>F7648+1</f>
        <v/>
      </c>
      <c r="G7649" s="92">
        <f>EXP($C$12+$C$8*_xlfn.NORM.S.INV(RAND()))</f>
        <v/>
      </c>
    </row>
    <row r="7650">
      <c r="F7650">
        <f>F7649+1</f>
        <v/>
      </c>
      <c r="G7650" s="92">
        <f>EXP($C$12+$C$8*_xlfn.NORM.S.INV(RAND()))</f>
        <v/>
      </c>
    </row>
    <row r="7651">
      <c r="F7651">
        <f>F7650+1</f>
        <v/>
      </c>
      <c r="G7651" s="92">
        <f>EXP($C$12+$C$8*_xlfn.NORM.S.INV(RAND()))</f>
        <v/>
      </c>
    </row>
    <row r="7652">
      <c r="F7652">
        <f>F7651+1</f>
        <v/>
      </c>
      <c r="G7652" s="92">
        <f>EXP($C$12+$C$8*_xlfn.NORM.S.INV(RAND()))</f>
        <v/>
      </c>
    </row>
    <row r="7653">
      <c r="F7653">
        <f>F7652+1</f>
        <v/>
      </c>
      <c r="G7653" s="92">
        <f>EXP($C$12+$C$8*_xlfn.NORM.S.INV(RAND()))</f>
        <v/>
      </c>
    </row>
    <row r="7654">
      <c r="F7654">
        <f>F7653+1</f>
        <v/>
      </c>
      <c r="G7654" s="92">
        <f>EXP($C$12+$C$8*_xlfn.NORM.S.INV(RAND()))</f>
        <v/>
      </c>
    </row>
    <row r="7655">
      <c r="F7655">
        <f>F7654+1</f>
        <v/>
      </c>
      <c r="G7655" s="92">
        <f>EXP($C$12+$C$8*_xlfn.NORM.S.INV(RAND()))</f>
        <v/>
      </c>
    </row>
    <row r="7656">
      <c r="F7656">
        <f>F7655+1</f>
        <v/>
      </c>
      <c r="G7656" s="92">
        <f>EXP($C$12+$C$8*_xlfn.NORM.S.INV(RAND()))</f>
        <v/>
      </c>
    </row>
    <row r="7657">
      <c r="F7657">
        <f>F7656+1</f>
        <v/>
      </c>
      <c r="G7657" s="92">
        <f>EXP($C$12+$C$8*_xlfn.NORM.S.INV(RAND()))</f>
        <v/>
      </c>
    </row>
    <row r="7658">
      <c r="F7658">
        <f>F7657+1</f>
        <v/>
      </c>
      <c r="G7658" s="92">
        <f>EXP($C$12+$C$8*_xlfn.NORM.S.INV(RAND()))</f>
        <v/>
      </c>
    </row>
    <row r="7659">
      <c r="F7659">
        <f>F7658+1</f>
        <v/>
      </c>
      <c r="G7659" s="92">
        <f>EXP($C$12+$C$8*_xlfn.NORM.S.INV(RAND()))</f>
        <v/>
      </c>
    </row>
    <row r="7660">
      <c r="F7660">
        <f>F7659+1</f>
        <v/>
      </c>
      <c r="G7660" s="92">
        <f>EXP($C$12+$C$8*_xlfn.NORM.S.INV(RAND()))</f>
        <v/>
      </c>
    </row>
    <row r="7661">
      <c r="F7661">
        <f>F7660+1</f>
        <v/>
      </c>
      <c r="G7661" s="92">
        <f>EXP($C$12+$C$8*_xlfn.NORM.S.INV(RAND()))</f>
        <v/>
      </c>
    </row>
    <row r="7662">
      <c r="F7662">
        <f>F7661+1</f>
        <v/>
      </c>
      <c r="G7662" s="92">
        <f>EXP($C$12+$C$8*_xlfn.NORM.S.INV(RAND()))</f>
        <v/>
      </c>
    </row>
    <row r="7663">
      <c r="F7663">
        <f>F7662+1</f>
        <v/>
      </c>
      <c r="G7663" s="92">
        <f>EXP($C$12+$C$8*_xlfn.NORM.S.INV(RAND()))</f>
        <v/>
      </c>
    </row>
    <row r="7664">
      <c r="F7664">
        <f>F7663+1</f>
        <v/>
      </c>
      <c r="G7664" s="92">
        <f>EXP($C$12+$C$8*_xlfn.NORM.S.INV(RAND()))</f>
        <v/>
      </c>
    </row>
    <row r="7665">
      <c r="F7665">
        <f>F7664+1</f>
        <v/>
      </c>
      <c r="G7665" s="92">
        <f>EXP($C$12+$C$8*_xlfn.NORM.S.INV(RAND()))</f>
        <v/>
      </c>
    </row>
    <row r="7666">
      <c r="F7666">
        <f>F7665+1</f>
        <v/>
      </c>
      <c r="G7666" s="92">
        <f>EXP($C$12+$C$8*_xlfn.NORM.S.INV(RAND()))</f>
        <v/>
      </c>
    </row>
    <row r="7667">
      <c r="F7667">
        <f>F7666+1</f>
        <v/>
      </c>
      <c r="G7667" s="92">
        <f>EXP($C$12+$C$8*_xlfn.NORM.S.INV(RAND()))</f>
        <v/>
      </c>
    </row>
    <row r="7668">
      <c r="F7668">
        <f>F7667+1</f>
        <v/>
      </c>
      <c r="G7668" s="92">
        <f>EXP($C$12+$C$8*_xlfn.NORM.S.INV(RAND()))</f>
        <v/>
      </c>
    </row>
    <row r="7669">
      <c r="F7669">
        <f>F7668+1</f>
        <v/>
      </c>
      <c r="G7669" s="92">
        <f>EXP($C$12+$C$8*_xlfn.NORM.S.INV(RAND()))</f>
        <v/>
      </c>
    </row>
    <row r="7670">
      <c r="F7670">
        <f>F7669+1</f>
        <v/>
      </c>
      <c r="G7670" s="92">
        <f>EXP($C$12+$C$8*_xlfn.NORM.S.INV(RAND()))</f>
        <v/>
      </c>
    </row>
    <row r="7671">
      <c r="F7671">
        <f>F7670+1</f>
        <v/>
      </c>
      <c r="G7671" s="92">
        <f>EXP($C$12+$C$8*_xlfn.NORM.S.INV(RAND()))</f>
        <v/>
      </c>
    </row>
    <row r="7672">
      <c r="F7672">
        <f>F7671+1</f>
        <v/>
      </c>
      <c r="G7672" s="92">
        <f>EXP($C$12+$C$8*_xlfn.NORM.S.INV(RAND()))</f>
        <v/>
      </c>
    </row>
    <row r="7673">
      <c r="F7673">
        <f>F7672+1</f>
        <v/>
      </c>
      <c r="G7673" s="92">
        <f>EXP($C$12+$C$8*_xlfn.NORM.S.INV(RAND()))</f>
        <v/>
      </c>
    </row>
    <row r="7674">
      <c r="F7674">
        <f>F7673+1</f>
        <v/>
      </c>
      <c r="G7674" s="92">
        <f>EXP($C$12+$C$8*_xlfn.NORM.S.INV(RAND()))</f>
        <v/>
      </c>
    </row>
    <row r="7675">
      <c r="F7675">
        <f>F7674+1</f>
        <v/>
      </c>
      <c r="G7675" s="92">
        <f>EXP($C$12+$C$8*_xlfn.NORM.S.INV(RAND()))</f>
        <v/>
      </c>
    </row>
    <row r="7676">
      <c r="F7676">
        <f>F7675+1</f>
        <v/>
      </c>
      <c r="G7676" s="92">
        <f>EXP($C$12+$C$8*_xlfn.NORM.S.INV(RAND()))</f>
        <v/>
      </c>
    </row>
    <row r="7677">
      <c r="F7677">
        <f>F7676+1</f>
        <v/>
      </c>
      <c r="G7677" s="92">
        <f>EXP($C$12+$C$8*_xlfn.NORM.S.INV(RAND()))</f>
        <v/>
      </c>
    </row>
    <row r="7678">
      <c r="F7678">
        <f>F7677+1</f>
        <v/>
      </c>
      <c r="G7678" s="92">
        <f>EXP($C$12+$C$8*_xlfn.NORM.S.INV(RAND()))</f>
        <v/>
      </c>
    </row>
    <row r="7679">
      <c r="F7679">
        <f>F7678+1</f>
        <v/>
      </c>
      <c r="G7679" s="92">
        <f>EXP($C$12+$C$8*_xlfn.NORM.S.INV(RAND()))</f>
        <v/>
      </c>
    </row>
    <row r="7680">
      <c r="F7680">
        <f>F7679+1</f>
        <v/>
      </c>
      <c r="G7680" s="92">
        <f>EXP($C$12+$C$8*_xlfn.NORM.S.INV(RAND()))</f>
        <v/>
      </c>
    </row>
    <row r="7681">
      <c r="F7681">
        <f>F7680+1</f>
        <v/>
      </c>
      <c r="G7681" s="92">
        <f>EXP($C$12+$C$8*_xlfn.NORM.S.INV(RAND()))</f>
        <v/>
      </c>
    </row>
    <row r="7682">
      <c r="F7682">
        <f>F7681+1</f>
        <v/>
      </c>
      <c r="G7682" s="92">
        <f>EXP($C$12+$C$8*_xlfn.NORM.S.INV(RAND()))</f>
        <v/>
      </c>
    </row>
    <row r="7683">
      <c r="F7683">
        <f>F7682+1</f>
        <v/>
      </c>
      <c r="G7683" s="92">
        <f>EXP($C$12+$C$8*_xlfn.NORM.S.INV(RAND()))</f>
        <v/>
      </c>
    </row>
    <row r="7684">
      <c r="F7684">
        <f>F7683+1</f>
        <v/>
      </c>
      <c r="G7684" s="92">
        <f>EXP($C$12+$C$8*_xlfn.NORM.S.INV(RAND()))</f>
        <v/>
      </c>
    </row>
    <row r="7685">
      <c r="F7685">
        <f>F7684+1</f>
        <v/>
      </c>
      <c r="G7685" s="92">
        <f>EXP($C$12+$C$8*_xlfn.NORM.S.INV(RAND()))</f>
        <v/>
      </c>
    </row>
    <row r="7686">
      <c r="F7686">
        <f>F7685+1</f>
        <v/>
      </c>
      <c r="G7686" s="92">
        <f>EXP($C$12+$C$8*_xlfn.NORM.S.INV(RAND()))</f>
        <v/>
      </c>
    </row>
    <row r="7687">
      <c r="F7687">
        <f>F7686+1</f>
        <v/>
      </c>
      <c r="G7687" s="92">
        <f>EXP($C$12+$C$8*_xlfn.NORM.S.INV(RAND()))</f>
        <v/>
      </c>
    </row>
    <row r="7688">
      <c r="F7688">
        <f>F7687+1</f>
        <v/>
      </c>
      <c r="G7688" s="92">
        <f>EXP($C$12+$C$8*_xlfn.NORM.S.INV(RAND()))</f>
        <v/>
      </c>
    </row>
    <row r="7689">
      <c r="F7689">
        <f>F7688+1</f>
        <v/>
      </c>
      <c r="G7689" s="92">
        <f>EXP($C$12+$C$8*_xlfn.NORM.S.INV(RAND()))</f>
        <v/>
      </c>
    </row>
    <row r="7690">
      <c r="F7690">
        <f>F7689+1</f>
        <v/>
      </c>
      <c r="G7690" s="92">
        <f>EXP($C$12+$C$8*_xlfn.NORM.S.INV(RAND()))</f>
        <v/>
      </c>
    </row>
    <row r="7691">
      <c r="F7691">
        <f>F7690+1</f>
        <v/>
      </c>
      <c r="G7691" s="92">
        <f>EXP($C$12+$C$8*_xlfn.NORM.S.INV(RAND()))</f>
        <v/>
      </c>
    </row>
    <row r="7692">
      <c r="F7692">
        <f>F7691+1</f>
        <v/>
      </c>
      <c r="G7692" s="92">
        <f>EXP($C$12+$C$8*_xlfn.NORM.S.INV(RAND()))</f>
        <v/>
      </c>
    </row>
    <row r="7693">
      <c r="F7693">
        <f>F7692+1</f>
        <v/>
      </c>
      <c r="G7693" s="92">
        <f>EXP($C$12+$C$8*_xlfn.NORM.S.INV(RAND()))</f>
        <v/>
      </c>
    </row>
    <row r="7694">
      <c r="F7694">
        <f>F7693+1</f>
        <v/>
      </c>
      <c r="G7694" s="92">
        <f>EXP($C$12+$C$8*_xlfn.NORM.S.INV(RAND()))</f>
        <v/>
      </c>
    </row>
    <row r="7695">
      <c r="F7695">
        <f>F7694+1</f>
        <v/>
      </c>
      <c r="G7695" s="92">
        <f>EXP($C$12+$C$8*_xlfn.NORM.S.INV(RAND()))</f>
        <v/>
      </c>
    </row>
    <row r="7696">
      <c r="F7696">
        <f>F7695+1</f>
        <v/>
      </c>
      <c r="G7696" s="92">
        <f>EXP($C$12+$C$8*_xlfn.NORM.S.INV(RAND()))</f>
        <v/>
      </c>
    </row>
    <row r="7697">
      <c r="F7697">
        <f>F7696+1</f>
        <v/>
      </c>
      <c r="G7697" s="92">
        <f>EXP($C$12+$C$8*_xlfn.NORM.S.INV(RAND()))</f>
        <v/>
      </c>
    </row>
    <row r="7698">
      <c r="F7698">
        <f>F7697+1</f>
        <v/>
      </c>
      <c r="G7698" s="92">
        <f>EXP($C$12+$C$8*_xlfn.NORM.S.INV(RAND()))</f>
        <v/>
      </c>
    </row>
    <row r="7699">
      <c r="F7699">
        <f>F7698+1</f>
        <v/>
      </c>
      <c r="G7699" s="92">
        <f>EXP($C$12+$C$8*_xlfn.NORM.S.INV(RAND()))</f>
        <v/>
      </c>
    </row>
    <row r="7700">
      <c r="F7700">
        <f>F7699+1</f>
        <v/>
      </c>
      <c r="G7700" s="92">
        <f>EXP($C$12+$C$8*_xlfn.NORM.S.INV(RAND()))</f>
        <v/>
      </c>
    </row>
    <row r="7701">
      <c r="F7701">
        <f>F7700+1</f>
        <v/>
      </c>
      <c r="G7701" s="92">
        <f>EXP($C$12+$C$8*_xlfn.NORM.S.INV(RAND()))</f>
        <v/>
      </c>
    </row>
    <row r="7702">
      <c r="F7702">
        <f>F7701+1</f>
        <v/>
      </c>
      <c r="G7702" s="92">
        <f>EXP($C$12+$C$8*_xlfn.NORM.S.INV(RAND()))</f>
        <v/>
      </c>
    </row>
    <row r="7703">
      <c r="F7703">
        <f>F7702+1</f>
        <v/>
      </c>
      <c r="G7703" s="92">
        <f>EXP($C$12+$C$8*_xlfn.NORM.S.INV(RAND()))</f>
        <v/>
      </c>
    </row>
    <row r="7704">
      <c r="F7704">
        <f>F7703+1</f>
        <v/>
      </c>
      <c r="G7704" s="92">
        <f>EXP($C$12+$C$8*_xlfn.NORM.S.INV(RAND()))</f>
        <v/>
      </c>
    </row>
    <row r="7705">
      <c r="F7705">
        <f>F7704+1</f>
        <v/>
      </c>
      <c r="G7705" s="92">
        <f>EXP($C$12+$C$8*_xlfn.NORM.S.INV(RAND()))</f>
        <v/>
      </c>
    </row>
    <row r="7706">
      <c r="F7706">
        <f>F7705+1</f>
        <v/>
      </c>
      <c r="G7706" s="92">
        <f>EXP($C$12+$C$8*_xlfn.NORM.S.INV(RAND()))</f>
        <v/>
      </c>
    </row>
    <row r="7707">
      <c r="F7707">
        <f>F7706+1</f>
        <v/>
      </c>
      <c r="G7707" s="92">
        <f>EXP($C$12+$C$8*_xlfn.NORM.S.INV(RAND()))</f>
        <v/>
      </c>
    </row>
    <row r="7708">
      <c r="F7708">
        <f>F7707+1</f>
        <v/>
      </c>
      <c r="G7708" s="92">
        <f>EXP($C$12+$C$8*_xlfn.NORM.S.INV(RAND()))</f>
        <v/>
      </c>
    </row>
    <row r="7709">
      <c r="F7709">
        <f>F7708+1</f>
        <v/>
      </c>
      <c r="G7709" s="92">
        <f>EXP($C$12+$C$8*_xlfn.NORM.S.INV(RAND()))</f>
        <v/>
      </c>
    </row>
    <row r="7710">
      <c r="F7710">
        <f>F7709+1</f>
        <v/>
      </c>
      <c r="G7710" s="92">
        <f>EXP($C$12+$C$8*_xlfn.NORM.S.INV(RAND()))</f>
        <v/>
      </c>
    </row>
    <row r="7711">
      <c r="F7711">
        <f>F7710+1</f>
        <v/>
      </c>
      <c r="G7711" s="92">
        <f>EXP($C$12+$C$8*_xlfn.NORM.S.INV(RAND()))</f>
        <v/>
      </c>
    </row>
    <row r="7712">
      <c r="F7712">
        <f>F7711+1</f>
        <v/>
      </c>
      <c r="G7712" s="92">
        <f>EXP($C$12+$C$8*_xlfn.NORM.S.INV(RAND()))</f>
        <v/>
      </c>
    </row>
    <row r="7713">
      <c r="F7713">
        <f>F7712+1</f>
        <v/>
      </c>
      <c r="G7713" s="92">
        <f>EXP($C$12+$C$8*_xlfn.NORM.S.INV(RAND()))</f>
        <v/>
      </c>
    </row>
    <row r="7714">
      <c r="F7714">
        <f>F7713+1</f>
        <v/>
      </c>
      <c r="G7714" s="92">
        <f>EXP($C$12+$C$8*_xlfn.NORM.S.INV(RAND()))</f>
        <v/>
      </c>
    </row>
    <row r="7715">
      <c r="F7715">
        <f>F7714+1</f>
        <v/>
      </c>
      <c r="G7715" s="92">
        <f>EXP($C$12+$C$8*_xlfn.NORM.S.INV(RAND()))</f>
        <v/>
      </c>
    </row>
    <row r="7716">
      <c r="F7716">
        <f>F7715+1</f>
        <v/>
      </c>
      <c r="G7716" s="92">
        <f>EXP($C$12+$C$8*_xlfn.NORM.S.INV(RAND()))</f>
        <v/>
      </c>
    </row>
    <row r="7717">
      <c r="F7717">
        <f>F7716+1</f>
        <v/>
      </c>
      <c r="G7717" s="92">
        <f>EXP($C$12+$C$8*_xlfn.NORM.S.INV(RAND()))</f>
        <v/>
      </c>
    </row>
    <row r="7718">
      <c r="F7718">
        <f>F7717+1</f>
        <v/>
      </c>
      <c r="G7718" s="92">
        <f>EXP($C$12+$C$8*_xlfn.NORM.S.INV(RAND()))</f>
        <v/>
      </c>
    </row>
    <row r="7719">
      <c r="F7719">
        <f>F7718+1</f>
        <v/>
      </c>
      <c r="G7719" s="92">
        <f>EXP($C$12+$C$8*_xlfn.NORM.S.INV(RAND()))</f>
        <v/>
      </c>
    </row>
    <row r="7720">
      <c r="F7720">
        <f>F7719+1</f>
        <v/>
      </c>
      <c r="G7720" s="92">
        <f>EXP($C$12+$C$8*_xlfn.NORM.S.INV(RAND()))</f>
        <v/>
      </c>
    </row>
    <row r="7721">
      <c r="F7721">
        <f>F7720+1</f>
        <v/>
      </c>
      <c r="G7721" s="92">
        <f>EXP($C$12+$C$8*_xlfn.NORM.S.INV(RAND()))</f>
        <v/>
      </c>
    </row>
    <row r="7722">
      <c r="F7722">
        <f>F7721+1</f>
        <v/>
      </c>
      <c r="G7722" s="92">
        <f>EXP($C$12+$C$8*_xlfn.NORM.S.INV(RAND()))</f>
        <v/>
      </c>
    </row>
    <row r="7723">
      <c r="F7723">
        <f>F7722+1</f>
        <v/>
      </c>
      <c r="G7723" s="92">
        <f>EXP($C$12+$C$8*_xlfn.NORM.S.INV(RAND()))</f>
        <v/>
      </c>
    </row>
    <row r="7724">
      <c r="F7724">
        <f>F7723+1</f>
        <v/>
      </c>
      <c r="G7724" s="92">
        <f>EXP($C$12+$C$8*_xlfn.NORM.S.INV(RAND()))</f>
        <v/>
      </c>
    </row>
    <row r="7725">
      <c r="F7725">
        <f>F7724+1</f>
        <v/>
      </c>
      <c r="G7725" s="92">
        <f>EXP($C$12+$C$8*_xlfn.NORM.S.INV(RAND()))</f>
        <v/>
      </c>
    </row>
    <row r="7726">
      <c r="F7726">
        <f>F7725+1</f>
        <v/>
      </c>
      <c r="G7726" s="92">
        <f>EXP($C$12+$C$8*_xlfn.NORM.S.INV(RAND()))</f>
        <v/>
      </c>
    </row>
    <row r="7727">
      <c r="F7727">
        <f>F7726+1</f>
        <v/>
      </c>
      <c r="G7727" s="92">
        <f>EXP($C$12+$C$8*_xlfn.NORM.S.INV(RAND()))</f>
        <v/>
      </c>
    </row>
    <row r="7728">
      <c r="F7728">
        <f>F7727+1</f>
        <v/>
      </c>
      <c r="G7728" s="92">
        <f>EXP($C$12+$C$8*_xlfn.NORM.S.INV(RAND()))</f>
        <v/>
      </c>
    </row>
    <row r="7729">
      <c r="F7729">
        <f>F7728+1</f>
        <v/>
      </c>
      <c r="G7729" s="92">
        <f>EXP($C$12+$C$8*_xlfn.NORM.S.INV(RAND()))</f>
        <v/>
      </c>
    </row>
    <row r="7730">
      <c r="F7730">
        <f>F7729+1</f>
        <v/>
      </c>
      <c r="G7730" s="92">
        <f>EXP($C$12+$C$8*_xlfn.NORM.S.INV(RAND()))</f>
        <v/>
      </c>
    </row>
    <row r="7731">
      <c r="F7731">
        <f>F7730+1</f>
        <v/>
      </c>
      <c r="G7731" s="92">
        <f>EXP($C$12+$C$8*_xlfn.NORM.S.INV(RAND()))</f>
        <v/>
      </c>
    </row>
    <row r="7732">
      <c r="F7732">
        <f>F7731+1</f>
        <v/>
      </c>
      <c r="G7732" s="92">
        <f>EXP($C$12+$C$8*_xlfn.NORM.S.INV(RAND()))</f>
        <v/>
      </c>
    </row>
    <row r="7733">
      <c r="F7733">
        <f>F7732+1</f>
        <v/>
      </c>
      <c r="G7733" s="92">
        <f>EXP($C$12+$C$8*_xlfn.NORM.S.INV(RAND()))</f>
        <v/>
      </c>
    </row>
    <row r="7734">
      <c r="F7734">
        <f>F7733+1</f>
        <v/>
      </c>
      <c r="G7734" s="92">
        <f>EXP($C$12+$C$8*_xlfn.NORM.S.INV(RAND()))</f>
        <v/>
      </c>
    </row>
    <row r="7735">
      <c r="F7735">
        <f>F7734+1</f>
        <v/>
      </c>
      <c r="G7735" s="92">
        <f>EXP($C$12+$C$8*_xlfn.NORM.S.INV(RAND()))</f>
        <v/>
      </c>
    </row>
    <row r="7736">
      <c r="F7736">
        <f>F7735+1</f>
        <v/>
      </c>
      <c r="G7736" s="92">
        <f>EXP($C$12+$C$8*_xlfn.NORM.S.INV(RAND()))</f>
        <v/>
      </c>
    </row>
    <row r="7737">
      <c r="F7737">
        <f>F7736+1</f>
        <v/>
      </c>
      <c r="G7737" s="92">
        <f>EXP($C$12+$C$8*_xlfn.NORM.S.INV(RAND()))</f>
        <v/>
      </c>
    </row>
    <row r="7738">
      <c r="F7738">
        <f>F7737+1</f>
        <v/>
      </c>
      <c r="G7738" s="92">
        <f>EXP($C$12+$C$8*_xlfn.NORM.S.INV(RAND()))</f>
        <v/>
      </c>
    </row>
    <row r="7739">
      <c r="F7739">
        <f>F7738+1</f>
        <v/>
      </c>
      <c r="G7739" s="92">
        <f>EXP($C$12+$C$8*_xlfn.NORM.S.INV(RAND()))</f>
        <v/>
      </c>
    </row>
    <row r="7740">
      <c r="F7740">
        <f>F7739+1</f>
        <v/>
      </c>
      <c r="G7740" s="92">
        <f>EXP($C$12+$C$8*_xlfn.NORM.S.INV(RAND()))</f>
        <v/>
      </c>
    </row>
    <row r="7741">
      <c r="F7741">
        <f>F7740+1</f>
        <v/>
      </c>
      <c r="G7741" s="92">
        <f>EXP($C$12+$C$8*_xlfn.NORM.S.INV(RAND()))</f>
        <v/>
      </c>
    </row>
    <row r="7742">
      <c r="F7742">
        <f>F7741+1</f>
        <v/>
      </c>
      <c r="G7742" s="92">
        <f>EXP($C$12+$C$8*_xlfn.NORM.S.INV(RAND()))</f>
        <v/>
      </c>
    </row>
    <row r="7743">
      <c r="F7743">
        <f>F7742+1</f>
        <v/>
      </c>
      <c r="G7743" s="92">
        <f>EXP($C$12+$C$8*_xlfn.NORM.S.INV(RAND()))</f>
        <v/>
      </c>
    </row>
    <row r="7744">
      <c r="F7744">
        <f>F7743+1</f>
        <v/>
      </c>
      <c r="G7744" s="92">
        <f>EXP($C$12+$C$8*_xlfn.NORM.S.INV(RAND()))</f>
        <v/>
      </c>
    </row>
    <row r="7745">
      <c r="F7745">
        <f>F7744+1</f>
        <v/>
      </c>
      <c r="G7745" s="92">
        <f>EXP($C$12+$C$8*_xlfn.NORM.S.INV(RAND()))</f>
        <v/>
      </c>
    </row>
    <row r="7746">
      <c r="F7746">
        <f>F7745+1</f>
        <v/>
      </c>
      <c r="G7746" s="92">
        <f>EXP($C$12+$C$8*_xlfn.NORM.S.INV(RAND()))</f>
        <v/>
      </c>
    </row>
    <row r="7747">
      <c r="F7747">
        <f>F7746+1</f>
        <v/>
      </c>
      <c r="G7747" s="92">
        <f>EXP($C$12+$C$8*_xlfn.NORM.S.INV(RAND()))</f>
        <v/>
      </c>
    </row>
    <row r="7748">
      <c r="F7748">
        <f>F7747+1</f>
        <v/>
      </c>
      <c r="G7748" s="92">
        <f>EXP($C$12+$C$8*_xlfn.NORM.S.INV(RAND()))</f>
        <v/>
      </c>
    </row>
    <row r="7749">
      <c r="F7749">
        <f>F7748+1</f>
        <v/>
      </c>
      <c r="G7749" s="92">
        <f>EXP($C$12+$C$8*_xlfn.NORM.S.INV(RAND()))</f>
        <v/>
      </c>
    </row>
    <row r="7750">
      <c r="F7750">
        <f>F7749+1</f>
        <v/>
      </c>
      <c r="G7750" s="92">
        <f>EXP($C$12+$C$8*_xlfn.NORM.S.INV(RAND()))</f>
        <v/>
      </c>
    </row>
    <row r="7751">
      <c r="F7751">
        <f>F7750+1</f>
        <v/>
      </c>
      <c r="G7751" s="92">
        <f>EXP($C$12+$C$8*_xlfn.NORM.S.INV(RAND()))</f>
        <v/>
      </c>
    </row>
    <row r="7752">
      <c r="F7752">
        <f>F7751+1</f>
        <v/>
      </c>
      <c r="G7752" s="92">
        <f>EXP($C$12+$C$8*_xlfn.NORM.S.INV(RAND()))</f>
        <v/>
      </c>
    </row>
    <row r="7753">
      <c r="F7753">
        <f>F7752+1</f>
        <v/>
      </c>
      <c r="G7753" s="92">
        <f>EXP($C$12+$C$8*_xlfn.NORM.S.INV(RAND()))</f>
        <v/>
      </c>
    </row>
    <row r="7754">
      <c r="F7754">
        <f>F7753+1</f>
        <v/>
      </c>
      <c r="G7754" s="92">
        <f>EXP($C$12+$C$8*_xlfn.NORM.S.INV(RAND()))</f>
        <v/>
      </c>
    </row>
    <row r="7755">
      <c r="F7755">
        <f>F7754+1</f>
        <v/>
      </c>
      <c r="G7755" s="92">
        <f>EXP($C$12+$C$8*_xlfn.NORM.S.INV(RAND()))</f>
        <v/>
      </c>
    </row>
    <row r="7756">
      <c r="F7756">
        <f>F7755+1</f>
        <v/>
      </c>
      <c r="G7756" s="92">
        <f>EXP($C$12+$C$8*_xlfn.NORM.S.INV(RAND()))</f>
        <v/>
      </c>
    </row>
    <row r="7757">
      <c r="F7757">
        <f>F7756+1</f>
        <v/>
      </c>
      <c r="G7757" s="92">
        <f>EXP($C$12+$C$8*_xlfn.NORM.S.INV(RAND()))</f>
        <v/>
      </c>
    </row>
    <row r="7758">
      <c r="F7758">
        <f>F7757+1</f>
        <v/>
      </c>
      <c r="G7758" s="92">
        <f>EXP($C$12+$C$8*_xlfn.NORM.S.INV(RAND()))</f>
        <v/>
      </c>
    </row>
    <row r="7759">
      <c r="F7759">
        <f>F7758+1</f>
        <v/>
      </c>
      <c r="G7759" s="92">
        <f>EXP($C$12+$C$8*_xlfn.NORM.S.INV(RAND()))</f>
        <v/>
      </c>
    </row>
    <row r="7760">
      <c r="F7760">
        <f>F7759+1</f>
        <v/>
      </c>
      <c r="G7760" s="92">
        <f>EXP($C$12+$C$8*_xlfn.NORM.S.INV(RAND()))</f>
        <v/>
      </c>
    </row>
    <row r="7761">
      <c r="F7761">
        <f>F7760+1</f>
        <v/>
      </c>
      <c r="G7761" s="92">
        <f>EXP($C$12+$C$8*_xlfn.NORM.S.INV(RAND()))</f>
        <v/>
      </c>
    </row>
    <row r="7762">
      <c r="F7762">
        <f>F7761+1</f>
        <v/>
      </c>
      <c r="G7762" s="92">
        <f>EXP($C$12+$C$8*_xlfn.NORM.S.INV(RAND()))</f>
        <v/>
      </c>
    </row>
    <row r="7763">
      <c r="F7763">
        <f>F7762+1</f>
        <v/>
      </c>
      <c r="G7763" s="92">
        <f>EXP($C$12+$C$8*_xlfn.NORM.S.INV(RAND()))</f>
        <v/>
      </c>
    </row>
    <row r="7764">
      <c r="F7764">
        <f>F7763+1</f>
        <v/>
      </c>
      <c r="G7764" s="92">
        <f>EXP($C$12+$C$8*_xlfn.NORM.S.INV(RAND()))</f>
        <v/>
      </c>
    </row>
    <row r="7765">
      <c r="F7765">
        <f>F7764+1</f>
        <v/>
      </c>
      <c r="G7765" s="92">
        <f>EXP($C$12+$C$8*_xlfn.NORM.S.INV(RAND()))</f>
        <v/>
      </c>
    </row>
    <row r="7766">
      <c r="F7766">
        <f>F7765+1</f>
        <v/>
      </c>
      <c r="G7766" s="92">
        <f>EXP($C$12+$C$8*_xlfn.NORM.S.INV(RAND()))</f>
        <v/>
      </c>
    </row>
    <row r="7767">
      <c r="F7767">
        <f>F7766+1</f>
        <v/>
      </c>
      <c r="G7767" s="92">
        <f>EXP($C$12+$C$8*_xlfn.NORM.S.INV(RAND()))</f>
        <v/>
      </c>
    </row>
    <row r="7768">
      <c r="F7768">
        <f>F7767+1</f>
        <v/>
      </c>
      <c r="G7768" s="92">
        <f>EXP($C$12+$C$8*_xlfn.NORM.S.INV(RAND()))</f>
        <v/>
      </c>
    </row>
    <row r="7769">
      <c r="F7769">
        <f>F7768+1</f>
        <v/>
      </c>
      <c r="G7769" s="92">
        <f>EXP($C$12+$C$8*_xlfn.NORM.S.INV(RAND()))</f>
        <v/>
      </c>
    </row>
    <row r="7770">
      <c r="F7770">
        <f>F7769+1</f>
        <v/>
      </c>
      <c r="G7770" s="92">
        <f>EXP($C$12+$C$8*_xlfn.NORM.S.INV(RAND()))</f>
        <v/>
      </c>
    </row>
    <row r="7771">
      <c r="F7771">
        <f>F7770+1</f>
        <v/>
      </c>
      <c r="G7771" s="92">
        <f>EXP($C$12+$C$8*_xlfn.NORM.S.INV(RAND()))</f>
        <v/>
      </c>
    </row>
    <row r="7772">
      <c r="F7772">
        <f>F7771+1</f>
        <v/>
      </c>
      <c r="G7772" s="92">
        <f>EXP($C$12+$C$8*_xlfn.NORM.S.INV(RAND()))</f>
        <v/>
      </c>
    </row>
    <row r="7773">
      <c r="F7773">
        <f>F7772+1</f>
        <v/>
      </c>
      <c r="G7773" s="92">
        <f>EXP($C$12+$C$8*_xlfn.NORM.S.INV(RAND()))</f>
        <v/>
      </c>
    </row>
    <row r="7774">
      <c r="F7774">
        <f>F7773+1</f>
        <v/>
      </c>
      <c r="G7774" s="92">
        <f>EXP($C$12+$C$8*_xlfn.NORM.S.INV(RAND()))</f>
        <v/>
      </c>
    </row>
    <row r="7775">
      <c r="F7775">
        <f>F7774+1</f>
        <v/>
      </c>
      <c r="G7775" s="92">
        <f>EXP($C$12+$C$8*_xlfn.NORM.S.INV(RAND()))</f>
        <v/>
      </c>
    </row>
    <row r="7776">
      <c r="F7776">
        <f>F7775+1</f>
        <v/>
      </c>
      <c r="G7776" s="92">
        <f>EXP($C$12+$C$8*_xlfn.NORM.S.INV(RAND()))</f>
        <v/>
      </c>
    </row>
    <row r="7777">
      <c r="F7777">
        <f>F7776+1</f>
        <v/>
      </c>
      <c r="G7777" s="92">
        <f>EXP($C$12+$C$8*_xlfn.NORM.S.INV(RAND()))</f>
        <v/>
      </c>
    </row>
    <row r="7778">
      <c r="F7778">
        <f>F7777+1</f>
        <v/>
      </c>
      <c r="G7778" s="92">
        <f>EXP($C$12+$C$8*_xlfn.NORM.S.INV(RAND()))</f>
        <v/>
      </c>
    </row>
    <row r="7779">
      <c r="F7779">
        <f>F7778+1</f>
        <v/>
      </c>
      <c r="G7779" s="92">
        <f>EXP($C$12+$C$8*_xlfn.NORM.S.INV(RAND()))</f>
        <v/>
      </c>
    </row>
    <row r="7780">
      <c r="F7780">
        <f>F7779+1</f>
        <v/>
      </c>
      <c r="G7780" s="92">
        <f>EXP($C$12+$C$8*_xlfn.NORM.S.INV(RAND()))</f>
        <v/>
      </c>
    </row>
    <row r="7781">
      <c r="F7781">
        <f>F7780+1</f>
        <v/>
      </c>
      <c r="G7781" s="92">
        <f>EXP($C$12+$C$8*_xlfn.NORM.S.INV(RAND()))</f>
        <v/>
      </c>
    </row>
    <row r="7782">
      <c r="F7782">
        <f>F7781+1</f>
        <v/>
      </c>
      <c r="G7782" s="92">
        <f>EXP($C$12+$C$8*_xlfn.NORM.S.INV(RAND()))</f>
        <v/>
      </c>
    </row>
    <row r="7783">
      <c r="F7783">
        <f>F7782+1</f>
        <v/>
      </c>
      <c r="G7783" s="92">
        <f>EXP($C$12+$C$8*_xlfn.NORM.S.INV(RAND()))</f>
        <v/>
      </c>
    </row>
    <row r="7784">
      <c r="F7784">
        <f>F7783+1</f>
        <v/>
      </c>
      <c r="G7784" s="92">
        <f>EXP($C$12+$C$8*_xlfn.NORM.S.INV(RAND()))</f>
        <v/>
      </c>
    </row>
    <row r="7785">
      <c r="F7785">
        <f>F7784+1</f>
        <v/>
      </c>
      <c r="G7785" s="92">
        <f>EXP($C$12+$C$8*_xlfn.NORM.S.INV(RAND()))</f>
        <v/>
      </c>
    </row>
    <row r="7786">
      <c r="F7786">
        <f>F7785+1</f>
        <v/>
      </c>
      <c r="G7786" s="92">
        <f>EXP($C$12+$C$8*_xlfn.NORM.S.INV(RAND()))</f>
        <v/>
      </c>
    </row>
    <row r="7787">
      <c r="F7787">
        <f>F7786+1</f>
        <v/>
      </c>
      <c r="G7787" s="92">
        <f>EXP($C$12+$C$8*_xlfn.NORM.S.INV(RAND()))</f>
        <v/>
      </c>
    </row>
    <row r="7788">
      <c r="F7788">
        <f>F7787+1</f>
        <v/>
      </c>
      <c r="G7788" s="92">
        <f>EXP($C$12+$C$8*_xlfn.NORM.S.INV(RAND()))</f>
        <v/>
      </c>
    </row>
    <row r="7789">
      <c r="F7789">
        <f>F7788+1</f>
        <v/>
      </c>
      <c r="G7789" s="92">
        <f>EXP($C$12+$C$8*_xlfn.NORM.S.INV(RAND()))</f>
        <v/>
      </c>
    </row>
    <row r="7790">
      <c r="F7790">
        <f>F7789+1</f>
        <v/>
      </c>
      <c r="G7790" s="92">
        <f>EXP($C$12+$C$8*_xlfn.NORM.S.INV(RAND()))</f>
        <v/>
      </c>
    </row>
    <row r="7791">
      <c r="F7791">
        <f>F7790+1</f>
        <v/>
      </c>
      <c r="G7791" s="92">
        <f>EXP($C$12+$C$8*_xlfn.NORM.S.INV(RAND()))</f>
        <v/>
      </c>
    </row>
    <row r="7792">
      <c r="F7792">
        <f>F7791+1</f>
        <v/>
      </c>
      <c r="G7792" s="92">
        <f>EXP($C$12+$C$8*_xlfn.NORM.S.INV(RAND()))</f>
        <v/>
      </c>
    </row>
    <row r="7793">
      <c r="F7793">
        <f>F7792+1</f>
        <v/>
      </c>
      <c r="G7793" s="92">
        <f>EXP($C$12+$C$8*_xlfn.NORM.S.INV(RAND()))</f>
        <v/>
      </c>
    </row>
    <row r="7794">
      <c r="F7794">
        <f>F7793+1</f>
        <v/>
      </c>
      <c r="G7794" s="92">
        <f>EXP($C$12+$C$8*_xlfn.NORM.S.INV(RAND()))</f>
        <v/>
      </c>
    </row>
    <row r="7795">
      <c r="F7795">
        <f>F7794+1</f>
        <v/>
      </c>
      <c r="G7795" s="92">
        <f>EXP($C$12+$C$8*_xlfn.NORM.S.INV(RAND()))</f>
        <v/>
      </c>
    </row>
    <row r="7796">
      <c r="F7796">
        <f>F7795+1</f>
        <v/>
      </c>
      <c r="G7796" s="92">
        <f>EXP($C$12+$C$8*_xlfn.NORM.S.INV(RAND()))</f>
        <v/>
      </c>
    </row>
    <row r="7797">
      <c r="F7797">
        <f>F7796+1</f>
        <v/>
      </c>
      <c r="G7797" s="92">
        <f>EXP($C$12+$C$8*_xlfn.NORM.S.INV(RAND()))</f>
        <v/>
      </c>
    </row>
    <row r="7798">
      <c r="F7798">
        <f>F7797+1</f>
        <v/>
      </c>
      <c r="G7798" s="92">
        <f>EXP($C$12+$C$8*_xlfn.NORM.S.INV(RAND()))</f>
        <v/>
      </c>
    </row>
    <row r="7799">
      <c r="F7799">
        <f>F7798+1</f>
        <v/>
      </c>
      <c r="G7799" s="92">
        <f>EXP($C$12+$C$8*_xlfn.NORM.S.INV(RAND()))</f>
        <v/>
      </c>
    </row>
    <row r="7800">
      <c r="F7800">
        <f>F7799+1</f>
        <v/>
      </c>
      <c r="G7800" s="92">
        <f>EXP($C$12+$C$8*_xlfn.NORM.S.INV(RAND()))</f>
        <v/>
      </c>
    </row>
    <row r="7801">
      <c r="F7801">
        <f>F7800+1</f>
        <v/>
      </c>
      <c r="G7801" s="92">
        <f>EXP($C$12+$C$8*_xlfn.NORM.S.INV(RAND()))</f>
        <v/>
      </c>
    </row>
    <row r="7802">
      <c r="F7802">
        <f>F7801+1</f>
        <v/>
      </c>
      <c r="G7802" s="92">
        <f>EXP($C$12+$C$8*_xlfn.NORM.S.INV(RAND()))</f>
        <v/>
      </c>
    </row>
    <row r="7803">
      <c r="F7803">
        <f>F7802+1</f>
        <v/>
      </c>
      <c r="G7803" s="92">
        <f>EXP($C$12+$C$8*_xlfn.NORM.S.INV(RAND()))</f>
        <v/>
      </c>
    </row>
    <row r="7804">
      <c r="F7804">
        <f>F7803+1</f>
        <v/>
      </c>
      <c r="G7804" s="92">
        <f>EXP($C$12+$C$8*_xlfn.NORM.S.INV(RAND()))</f>
        <v/>
      </c>
    </row>
    <row r="7805">
      <c r="F7805">
        <f>F7804+1</f>
        <v/>
      </c>
      <c r="G7805" s="92">
        <f>EXP($C$12+$C$8*_xlfn.NORM.S.INV(RAND()))</f>
        <v/>
      </c>
    </row>
    <row r="7806">
      <c r="F7806">
        <f>F7805+1</f>
        <v/>
      </c>
      <c r="G7806" s="92">
        <f>EXP($C$12+$C$8*_xlfn.NORM.S.INV(RAND()))</f>
        <v/>
      </c>
    </row>
    <row r="7807">
      <c r="F7807">
        <f>F7806+1</f>
        <v/>
      </c>
      <c r="G7807" s="92">
        <f>EXP($C$12+$C$8*_xlfn.NORM.S.INV(RAND()))</f>
        <v/>
      </c>
    </row>
    <row r="7808">
      <c r="F7808">
        <f>F7807+1</f>
        <v/>
      </c>
      <c r="G7808" s="92">
        <f>EXP($C$12+$C$8*_xlfn.NORM.S.INV(RAND()))</f>
        <v/>
      </c>
    </row>
    <row r="7809">
      <c r="F7809">
        <f>F7808+1</f>
        <v/>
      </c>
      <c r="G7809" s="92">
        <f>EXP($C$12+$C$8*_xlfn.NORM.S.INV(RAND()))</f>
        <v/>
      </c>
    </row>
    <row r="7810">
      <c r="F7810">
        <f>F7809+1</f>
        <v/>
      </c>
      <c r="G7810" s="92">
        <f>EXP($C$12+$C$8*_xlfn.NORM.S.INV(RAND()))</f>
        <v/>
      </c>
    </row>
    <row r="7811">
      <c r="F7811">
        <f>F7810+1</f>
        <v/>
      </c>
      <c r="G7811" s="92">
        <f>EXP($C$12+$C$8*_xlfn.NORM.S.INV(RAND()))</f>
        <v/>
      </c>
    </row>
    <row r="7812">
      <c r="F7812">
        <f>F7811+1</f>
        <v/>
      </c>
      <c r="G7812" s="92">
        <f>EXP($C$12+$C$8*_xlfn.NORM.S.INV(RAND()))</f>
        <v/>
      </c>
    </row>
    <row r="7813">
      <c r="F7813">
        <f>F7812+1</f>
        <v/>
      </c>
      <c r="G7813" s="92">
        <f>EXP($C$12+$C$8*_xlfn.NORM.S.INV(RAND()))</f>
        <v/>
      </c>
    </row>
    <row r="7814">
      <c r="F7814">
        <f>F7813+1</f>
        <v/>
      </c>
      <c r="G7814" s="92">
        <f>EXP($C$12+$C$8*_xlfn.NORM.S.INV(RAND()))</f>
        <v/>
      </c>
    </row>
    <row r="7815">
      <c r="F7815">
        <f>F7814+1</f>
        <v/>
      </c>
      <c r="G7815" s="92">
        <f>EXP($C$12+$C$8*_xlfn.NORM.S.INV(RAND()))</f>
        <v/>
      </c>
    </row>
    <row r="7816">
      <c r="F7816">
        <f>F7815+1</f>
        <v/>
      </c>
      <c r="G7816" s="92">
        <f>EXP($C$12+$C$8*_xlfn.NORM.S.INV(RAND()))</f>
        <v/>
      </c>
    </row>
    <row r="7817">
      <c r="F7817">
        <f>F7816+1</f>
        <v/>
      </c>
      <c r="G7817" s="92">
        <f>EXP($C$12+$C$8*_xlfn.NORM.S.INV(RAND()))</f>
        <v/>
      </c>
    </row>
    <row r="7818">
      <c r="F7818">
        <f>F7817+1</f>
        <v/>
      </c>
      <c r="G7818" s="92">
        <f>EXP($C$12+$C$8*_xlfn.NORM.S.INV(RAND()))</f>
        <v/>
      </c>
    </row>
    <row r="7819">
      <c r="F7819">
        <f>F7818+1</f>
        <v/>
      </c>
      <c r="G7819" s="92">
        <f>EXP($C$12+$C$8*_xlfn.NORM.S.INV(RAND()))</f>
        <v/>
      </c>
    </row>
    <row r="7820">
      <c r="F7820">
        <f>F7819+1</f>
        <v/>
      </c>
      <c r="G7820" s="92">
        <f>EXP($C$12+$C$8*_xlfn.NORM.S.INV(RAND()))</f>
        <v/>
      </c>
    </row>
    <row r="7821">
      <c r="F7821">
        <f>F7820+1</f>
        <v/>
      </c>
      <c r="G7821" s="92">
        <f>EXP($C$12+$C$8*_xlfn.NORM.S.INV(RAND()))</f>
        <v/>
      </c>
    </row>
    <row r="7822">
      <c r="F7822">
        <f>F7821+1</f>
        <v/>
      </c>
      <c r="G7822" s="92">
        <f>EXP($C$12+$C$8*_xlfn.NORM.S.INV(RAND()))</f>
        <v/>
      </c>
    </row>
    <row r="7823">
      <c r="F7823">
        <f>F7822+1</f>
        <v/>
      </c>
      <c r="G7823" s="92">
        <f>EXP($C$12+$C$8*_xlfn.NORM.S.INV(RAND()))</f>
        <v/>
      </c>
    </row>
    <row r="7824">
      <c r="F7824">
        <f>F7823+1</f>
        <v/>
      </c>
      <c r="G7824" s="92">
        <f>EXP($C$12+$C$8*_xlfn.NORM.S.INV(RAND()))</f>
        <v/>
      </c>
    </row>
    <row r="7825">
      <c r="F7825">
        <f>F7824+1</f>
        <v/>
      </c>
      <c r="G7825" s="92">
        <f>EXP($C$12+$C$8*_xlfn.NORM.S.INV(RAND()))</f>
        <v/>
      </c>
    </row>
    <row r="7826">
      <c r="F7826">
        <f>F7825+1</f>
        <v/>
      </c>
      <c r="G7826" s="92">
        <f>EXP($C$12+$C$8*_xlfn.NORM.S.INV(RAND()))</f>
        <v/>
      </c>
    </row>
    <row r="7827">
      <c r="F7827">
        <f>F7826+1</f>
        <v/>
      </c>
      <c r="G7827" s="92">
        <f>EXP($C$12+$C$8*_xlfn.NORM.S.INV(RAND()))</f>
        <v/>
      </c>
    </row>
    <row r="7828">
      <c r="F7828">
        <f>F7827+1</f>
        <v/>
      </c>
      <c r="G7828" s="92">
        <f>EXP($C$12+$C$8*_xlfn.NORM.S.INV(RAND()))</f>
        <v/>
      </c>
    </row>
    <row r="7829">
      <c r="F7829">
        <f>F7828+1</f>
        <v/>
      </c>
      <c r="G7829" s="92">
        <f>EXP($C$12+$C$8*_xlfn.NORM.S.INV(RAND()))</f>
        <v/>
      </c>
    </row>
    <row r="7830">
      <c r="F7830">
        <f>F7829+1</f>
        <v/>
      </c>
      <c r="G7830" s="92">
        <f>EXP($C$12+$C$8*_xlfn.NORM.S.INV(RAND()))</f>
        <v/>
      </c>
    </row>
    <row r="7831">
      <c r="F7831">
        <f>F7830+1</f>
        <v/>
      </c>
      <c r="G7831" s="92">
        <f>EXP($C$12+$C$8*_xlfn.NORM.S.INV(RAND()))</f>
        <v/>
      </c>
    </row>
    <row r="7832">
      <c r="F7832">
        <f>F7831+1</f>
        <v/>
      </c>
      <c r="G7832" s="92">
        <f>EXP($C$12+$C$8*_xlfn.NORM.S.INV(RAND()))</f>
        <v/>
      </c>
    </row>
    <row r="7833">
      <c r="F7833">
        <f>F7832+1</f>
        <v/>
      </c>
      <c r="G7833" s="92">
        <f>EXP($C$12+$C$8*_xlfn.NORM.S.INV(RAND()))</f>
        <v/>
      </c>
    </row>
    <row r="7834">
      <c r="F7834">
        <f>F7833+1</f>
        <v/>
      </c>
      <c r="G7834" s="92">
        <f>EXP($C$12+$C$8*_xlfn.NORM.S.INV(RAND()))</f>
        <v/>
      </c>
    </row>
    <row r="7835">
      <c r="F7835">
        <f>F7834+1</f>
        <v/>
      </c>
      <c r="G7835" s="92">
        <f>EXP($C$12+$C$8*_xlfn.NORM.S.INV(RAND()))</f>
        <v/>
      </c>
    </row>
    <row r="7836">
      <c r="F7836">
        <f>F7835+1</f>
        <v/>
      </c>
      <c r="G7836" s="92">
        <f>EXP($C$12+$C$8*_xlfn.NORM.S.INV(RAND()))</f>
        <v/>
      </c>
    </row>
    <row r="7837">
      <c r="F7837">
        <f>F7836+1</f>
        <v/>
      </c>
      <c r="G7837" s="92">
        <f>EXP($C$12+$C$8*_xlfn.NORM.S.INV(RAND()))</f>
        <v/>
      </c>
    </row>
    <row r="7838">
      <c r="F7838">
        <f>F7837+1</f>
        <v/>
      </c>
      <c r="G7838" s="92">
        <f>EXP($C$12+$C$8*_xlfn.NORM.S.INV(RAND()))</f>
        <v/>
      </c>
    </row>
    <row r="7839">
      <c r="F7839">
        <f>F7838+1</f>
        <v/>
      </c>
      <c r="G7839" s="92">
        <f>EXP($C$12+$C$8*_xlfn.NORM.S.INV(RAND()))</f>
        <v/>
      </c>
    </row>
    <row r="7840">
      <c r="F7840">
        <f>F7839+1</f>
        <v/>
      </c>
      <c r="G7840" s="92">
        <f>EXP($C$12+$C$8*_xlfn.NORM.S.INV(RAND()))</f>
        <v/>
      </c>
    </row>
    <row r="7841">
      <c r="F7841">
        <f>F7840+1</f>
        <v/>
      </c>
      <c r="G7841" s="92">
        <f>EXP($C$12+$C$8*_xlfn.NORM.S.INV(RAND()))</f>
        <v/>
      </c>
    </row>
    <row r="7842">
      <c r="F7842">
        <f>F7841+1</f>
        <v/>
      </c>
      <c r="G7842" s="92">
        <f>EXP($C$12+$C$8*_xlfn.NORM.S.INV(RAND()))</f>
        <v/>
      </c>
    </row>
    <row r="7843">
      <c r="F7843">
        <f>F7842+1</f>
        <v/>
      </c>
      <c r="G7843" s="92">
        <f>EXP($C$12+$C$8*_xlfn.NORM.S.INV(RAND()))</f>
        <v/>
      </c>
    </row>
    <row r="7844">
      <c r="F7844">
        <f>F7843+1</f>
        <v/>
      </c>
      <c r="G7844" s="92">
        <f>EXP($C$12+$C$8*_xlfn.NORM.S.INV(RAND()))</f>
        <v/>
      </c>
    </row>
    <row r="7845">
      <c r="F7845">
        <f>F7844+1</f>
        <v/>
      </c>
      <c r="G7845" s="92">
        <f>EXP($C$12+$C$8*_xlfn.NORM.S.INV(RAND()))</f>
        <v/>
      </c>
    </row>
    <row r="7846">
      <c r="F7846">
        <f>F7845+1</f>
        <v/>
      </c>
      <c r="G7846" s="92">
        <f>EXP($C$12+$C$8*_xlfn.NORM.S.INV(RAND()))</f>
        <v/>
      </c>
    </row>
    <row r="7847">
      <c r="F7847">
        <f>F7846+1</f>
        <v/>
      </c>
      <c r="G7847" s="92">
        <f>EXP($C$12+$C$8*_xlfn.NORM.S.INV(RAND()))</f>
        <v/>
      </c>
    </row>
    <row r="7848">
      <c r="F7848">
        <f>F7847+1</f>
        <v/>
      </c>
      <c r="G7848" s="92">
        <f>EXP($C$12+$C$8*_xlfn.NORM.S.INV(RAND()))</f>
        <v/>
      </c>
    </row>
    <row r="7849">
      <c r="F7849">
        <f>F7848+1</f>
        <v/>
      </c>
      <c r="G7849" s="92">
        <f>EXP($C$12+$C$8*_xlfn.NORM.S.INV(RAND()))</f>
        <v/>
      </c>
    </row>
    <row r="7850">
      <c r="F7850">
        <f>F7849+1</f>
        <v/>
      </c>
      <c r="G7850" s="92">
        <f>EXP($C$12+$C$8*_xlfn.NORM.S.INV(RAND()))</f>
        <v/>
      </c>
    </row>
    <row r="7851">
      <c r="F7851">
        <f>F7850+1</f>
        <v/>
      </c>
      <c r="G7851" s="92">
        <f>EXP($C$12+$C$8*_xlfn.NORM.S.INV(RAND()))</f>
        <v/>
      </c>
    </row>
    <row r="7852">
      <c r="F7852">
        <f>F7851+1</f>
        <v/>
      </c>
      <c r="G7852" s="92">
        <f>EXP($C$12+$C$8*_xlfn.NORM.S.INV(RAND()))</f>
        <v/>
      </c>
    </row>
    <row r="7853">
      <c r="F7853">
        <f>F7852+1</f>
        <v/>
      </c>
      <c r="G7853" s="92">
        <f>EXP($C$12+$C$8*_xlfn.NORM.S.INV(RAND()))</f>
        <v/>
      </c>
    </row>
    <row r="7854">
      <c r="F7854">
        <f>F7853+1</f>
        <v/>
      </c>
      <c r="G7854" s="92">
        <f>EXP($C$12+$C$8*_xlfn.NORM.S.INV(RAND()))</f>
        <v/>
      </c>
    </row>
    <row r="7855">
      <c r="F7855">
        <f>F7854+1</f>
        <v/>
      </c>
      <c r="G7855" s="92">
        <f>EXP($C$12+$C$8*_xlfn.NORM.S.INV(RAND()))</f>
        <v/>
      </c>
    </row>
    <row r="7856">
      <c r="F7856">
        <f>F7855+1</f>
        <v/>
      </c>
      <c r="G7856" s="92">
        <f>EXP($C$12+$C$8*_xlfn.NORM.S.INV(RAND()))</f>
        <v/>
      </c>
    </row>
    <row r="7857">
      <c r="F7857">
        <f>F7856+1</f>
        <v/>
      </c>
      <c r="G7857" s="92">
        <f>EXP($C$12+$C$8*_xlfn.NORM.S.INV(RAND()))</f>
        <v/>
      </c>
    </row>
    <row r="7858">
      <c r="F7858">
        <f>F7857+1</f>
        <v/>
      </c>
      <c r="G7858" s="92">
        <f>EXP($C$12+$C$8*_xlfn.NORM.S.INV(RAND()))</f>
        <v/>
      </c>
    </row>
    <row r="7859">
      <c r="F7859">
        <f>F7858+1</f>
        <v/>
      </c>
      <c r="G7859" s="92">
        <f>EXP($C$12+$C$8*_xlfn.NORM.S.INV(RAND()))</f>
        <v/>
      </c>
    </row>
    <row r="7860">
      <c r="F7860">
        <f>F7859+1</f>
        <v/>
      </c>
      <c r="G7860" s="92">
        <f>EXP($C$12+$C$8*_xlfn.NORM.S.INV(RAND()))</f>
        <v/>
      </c>
    </row>
    <row r="7861">
      <c r="F7861">
        <f>F7860+1</f>
        <v/>
      </c>
      <c r="G7861" s="92">
        <f>EXP($C$12+$C$8*_xlfn.NORM.S.INV(RAND()))</f>
        <v/>
      </c>
    </row>
    <row r="7862">
      <c r="F7862">
        <f>F7861+1</f>
        <v/>
      </c>
      <c r="G7862" s="92">
        <f>EXP($C$12+$C$8*_xlfn.NORM.S.INV(RAND()))</f>
        <v/>
      </c>
    </row>
    <row r="7863">
      <c r="F7863">
        <f>F7862+1</f>
        <v/>
      </c>
      <c r="G7863" s="92">
        <f>EXP($C$12+$C$8*_xlfn.NORM.S.INV(RAND()))</f>
        <v/>
      </c>
    </row>
    <row r="7864">
      <c r="F7864">
        <f>F7863+1</f>
        <v/>
      </c>
      <c r="G7864" s="92">
        <f>EXP($C$12+$C$8*_xlfn.NORM.S.INV(RAND()))</f>
        <v/>
      </c>
    </row>
    <row r="7865">
      <c r="F7865">
        <f>F7864+1</f>
        <v/>
      </c>
      <c r="G7865" s="92">
        <f>EXP($C$12+$C$8*_xlfn.NORM.S.INV(RAND()))</f>
        <v/>
      </c>
    </row>
    <row r="7866">
      <c r="F7866">
        <f>F7865+1</f>
        <v/>
      </c>
      <c r="G7866" s="92">
        <f>EXP($C$12+$C$8*_xlfn.NORM.S.INV(RAND()))</f>
        <v/>
      </c>
    </row>
    <row r="7867">
      <c r="F7867">
        <f>F7866+1</f>
        <v/>
      </c>
      <c r="G7867" s="92">
        <f>EXP($C$12+$C$8*_xlfn.NORM.S.INV(RAND()))</f>
        <v/>
      </c>
    </row>
    <row r="7868">
      <c r="F7868">
        <f>F7867+1</f>
        <v/>
      </c>
      <c r="G7868" s="92">
        <f>EXP($C$12+$C$8*_xlfn.NORM.S.INV(RAND()))</f>
        <v/>
      </c>
    </row>
    <row r="7869">
      <c r="F7869">
        <f>F7868+1</f>
        <v/>
      </c>
      <c r="G7869" s="92">
        <f>EXP($C$12+$C$8*_xlfn.NORM.S.INV(RAND()))</f>
        <v/>
      </c>
    </row>
    <row r="7870">
      <c r="F7870">
        <f>F7869+1</f>
        <v/>
      </c>
      <c r="G7870" s="92">
        <f>EXP($C$12+$C$8*_xlfn.NORM.S.INV(RAND()))</f>
        <v/>
      </c>
    </row>
    <row r="7871">
      <c r="F7871">
        <f>F7870+1</f>
        <v/>
      </c>
      <c r="G7871" s="92">
        <f>EXP($C$12+$C$8*_xlfn.NORM.S.INV(RAND()))</f>
        <v/>
      </c>
    </row>
    <row r="7872">
      <c r="F7872">
        <f>F7871+1</f>
        <v/>
      </c>
      <c r="G7872" s="92">
        <f>EXP($C$12+$C$8*_xlfn.NORM.S.INV(RAND()))</f>
        <v/>
      </c>
    </row>
    <row r="7873">
      <c r="F7873">
        <f>F7872+1</f>
        <v/>
      </c>
      <c r="G7873" s="92">
        <f>EXP($C$12+$C$8*_xlfn.NORM.S.INV(RAND()))</f>
        <v/>
      </c>
    </row>
    <row r="7874">
      <c r="F7874">
        <f>F7873+1</f>
        <v/>
      </c>
      <c r="G7874" s="92">
        <f>EXP($C$12+$C$8*_xlfn.NORM.S.INV(RAND()))</f>
        <v/>
      </c>
    </row>
    <row r="7875">
      <c r="F7875">
        <f>F7874+1</f>
        <v/>
      </c>
      <c r="G7875" s="92">
        <f>EXP($C$12+$C$8*_xlfn.NORM.S.INV(RAND()))</f>
        <v/>
      </c>
    </row>
    <row r="7876">
      <c r="F7876">
        <f>F7875+1</f>
        <v/>
      </c>
      <c r="G7876" s="92">
        <f>EXP($C$12+$C$8*_xlfn.NORM.S.INV(RAND()))</f>
        <v/>
      </c>
    </row>
    <row r="7877">
      <c r="F7877">
        <f>F7876+1</f>
        <v/>
      </c>
      <c r="G7877" s="92">
        <f>EXP($C$12+$C$8*_xlfn.NORM.S.INV(RAND()))</f>
        <v/>
      </c>
    </row>
    <row r="7878">
      <c r="F7878">
        <f>F7877+1</f>
        <v/>
      </c>
      <c r="G7878" s="92">
        <f>EXP($C$12+$C$8*_xlfn.NORM.S.INV(RAND()))</f>
        <v/>
      </c>
    </row>
    <row r="7879">
      <c r="F7879">
        <f>F7878+1</f>
        <v/>
      </c>
      <c r="G7879" s="92">
        <f>EXP($C$12+$C$8*_xlfn.NORM.S.INV(RAND()))</f>
        <v/>
      </c>
    </row>
    <row r="7880">
      <c r="F7880">
        <f>F7879+1</f>
        <v/>
      </c>
      <c r="G7880" s="92">
        <f>EXP($C$12+$C$8*_xlfn.NORM.S.INV(RAND()))</f>
        <v/>
      </c>
    </row>
    <row r="7881">
      <c r="F7881">
        <f>F7880+1</f>
        <v/>
      </c>
      <c r="G7881" s="92">
        <f>EXP($C$12+$C$8*_xlfn.NORM.S.INV(RAND()))</f>
        <v/>
      </c>
    </row>
    <row r="7882">
      <c r="F7882">
        <f>F7881+1</f>
        <v/>
      </c>
      <c r="G7882" s="92">
        <f>EXP($C$12+$C$8*_xlfn.NORM.S.INV(RAND()))</f>
        <v/>
      </c>
    </row>
    <row r="7883">
      <c r="F7883">
        <f>F7882+1</f>
        <v/>
      </c>
      <c r="G7883" s="92">
        <f>EXP($C$12+$C$8*_xlfn.NORM.S.INV(RAND()))</f>
        <v/>
      </c>
    </row>
    <row r="7884">
      <c r="F7884">
        <f>F7883+1</f>
        <v/>
      </c>
      <c r="G7884" s="92">
        <f>EXP($C$12+$C$8*_xlfn.NORM.S.INV(RAND()))</f>
        <v/>
      </c>
    </row>
    <row r="7885">
      <c r="F7885">
        <f>F7884+1</f>
        <v/>
      </c>
      <c r="G7885" s="92">
        <f>EXP($C$12+$C$8*_xlfn.NORM.S.INV(RAND()))</f>
        <v/>
      </c>
    </row>
    <row r="7886">
      <c r="F7886">
        <f>F7885+1</f>
        <v/>
      </c>
      <c r="G7886" s="92">
        <f>EXP($C$12+$C$8*_xlfn.NORM.S.INV(RAND()))</f>
        <v/>
      </c>
    </row>
    <row r="7887">
      <c r="F7887">
        <f>F7886+1</f>
        <v/>
      </c>
      <c r="G7887" s="92">
        <f>EXP($C$12+$C$8*_xlfn.NORM.S.INV(RAND()))</f>
        <v/>
      </c>
    </row>
    <row r="7888">
      <c r="F7888">
        <f>F7887+1</f>
        <v/>
      </c>
      <c r="G7888" s="92">
        <f>EXP($C$12+$C$8*_xlfn.NORM.S.INV(RAND()))</f>
        <v/>
      </c>
    </row>
    <row r="7889">
      <c r="F7889">
        <f>F7888+1</f>
        <v/>
      </c>
      <c r="G7889" s="92">
        <f>EXP($C$12+$C$8*_xlfn.NORM.S.INV(RAND()))</f>
        <v/>
      </c>
    </row>
    <row r="7890">
      <c r="F7890">
        <f>F7889+1</f>
        <v/>
      </c>
      <c r="G7890" s="92">
        <f>EXP($C$12+$C$8*_xlfn.NORM.S.INV(RAND()))</f>
        <v/>
      </c>
    </row>
    <row r="7891">
      <c r="F7891">
        <f>F7890+1</f>
        <v/>
      </c>
      <c r="G7891" s="92">
        <f>EXP($C$12+$C$8*_xlfn.NORM.S.INV(RAND()))</f>
        <v/>
      </c>
    </row>
    <row r="7892">
      <c r="F7892">
        <f>F7891+1</f>
        <v/>
      </c>
      <c r="G7892" s="92">
        <f>EXP($C$12+$C$8*_xlfn.NORM.S.INV(RAND()))</f>
        <v/>
      </c>
    </row>
    <row r="7893">
      <c r="F7893">
        <f>F7892+1</f>
        <v/>
      </c>
      <c r="G7893" s="92">
        <f>EXP($C$12+$C$8*_xlfn.NORM.S.INV(RAND()))</f>
        <v/>
      </c>
    </row>
    <row r="7894">
      <c r="F7894">
        <f>F7893+1</f>
        <v/>
      </c>
      <c r="G7894" s="92">
        <f>EXP($C$12+$C$8*_xlfn.NORM.S.INV(RAND()))</f>
        <v/>
      </c>
    </row>
    <row r="7895">
      <c r="F7895">
        <f>F7894+1</f>
        <v/>
      </c>
      <c r="G7895" s="92">
        <f>EXP($C$12+$C$8*_xlfn.NORM.S.INV(RAND()))</f>
        <v/>
      </c>
    </row>
    <row r="7896">
      <c r="F7896">
        <f>F7895+1</f>
        <v/>
      </c>
      <c r="G7896" s="92">
        <f>EXP($C$12+$C$8*_xlfn.NORM.S.INV(RAND()))</f>
        <v/>
      </c>
    </row>
    <row r="7897">
      <c r="F7897">
        <f>F7896+1</f>
        <v/>
      </c>
      <c r="G7897" s="92">
        <f>EXP($C$12+$C$8*_xlfn.NORM.S.INV(RAND()))</f>
        <v/>
      </c>
    </row>
    <row r="7898">
      <c r="F7898">
        <f>F7897+1</f>
        <v/>
      </c>
      <c r="G7898" s="92">
        <f>EXP($C$12+$C$8*_xlfn.NORM.S.INV(RAND()))</f>
        <v/>
      </c>
    </row>
    <row r="7899">
      <c r="F7899">
        <f>F7898+1</f>
        <v/>
      </c>
      <c r="G7899" s="92">
        <f>EXP($C$12+$C$8*_xlfn.NORM.S.INV(RAND()))</f>
        <v/>
      </c>
    </row>
    <row r="7900">
      <c r="F7900">
        <f>F7899+1</f>
        <v/>
      </c>
      <c r="G7900" s="92">
        <f>EXP($C$12+$C$8*_xlfn.NORM.S.INV(RAND()))</f>
        <v/>
      </c>
    </row>
    <row r="7901">
      <c r="F7901">
        <f>F7900+1</f>
        <v/>
      </c>
      <c r="G7901" s="92">
        <f>EXP($C$12+$C$8*_xlfn.NORM.S.INV(RAND()))</f>
        <v/>
      </c>
    </row>
    <row r="7902">
      <c r="F7902">
        <f>F7901+1</f>
        <v/>
      </c>
      <c r="G7902" s="92">
        <f>EXP($C$12+$C$8*_xlfn.NORM.S.INV(RAND()))</f>
        <v/>
      </c>
    </row>
    <row r="7903">
      <c r="F7903">
        <f>F7902+1</f>
        <v/>
      </c>
      <c r="G7903" s="92">
        <f>EXP($C$12+$C$8*_xlfn.NORM.S.INV(RAND()))</f>
        <v/>
      </c>
    </row>
    <row r="7904">
      <c r="F7904">
        <f>F7903+1</f>
        <v/>
      </c>
      <c r="G7904" s="92">
        <f>EXP($C$12+$C$8*_xlfn.NORM.S.INV(RAND()))</f>
        <v/>
      </c>
    </row>
    <row r="7905">
      <c r="F7905">
        <f>F7904+1</f>
        <v/>
      </c>
      <c r="G7905" s="92">
        <f>EXP($C$12+$C$8*_xlfn.NORM.S.INV(RAND()))</f>
        <v/>
      </c>
    </row>
    <row r="7906">
      <c r="F7906">
        <f>F7905+1</f>
        <v/>
      </c>
      <c r="G7906" s="92">
        <f>EXP($C$12+$C$8*_xlfn.NORM.S.INV(RAND()))</f>
        <v/>
      </c>
    </row>
    <row r="7907">
      <c r="F7907">
        <f>F7906+1</f>
        <v/>
      </c>
      <c r="G7907" s="92">
        <f>EXP($C$12+$C$8*_xlfn.NORM.S.INV(RAND()))</f>
        <v/>
      </c>
    </row>
    <row r="7908">
      <c r="F7908">
        <f>F7907+1</f>
        <v/>
      </c>
      <c r="G7908" s="92">
        <f>EXP($C$12+$C$8*_xlfn.NORM.S.INV(RAND()))</f>
        <v/>
      </c>
    </row>
    <row r="7909">
      <c r="F7909">
        <f>F7908+1</f>
        <v/>
      </c>
      <c r="G7909" s="92">
        <f>EXP($C$12+$C$8*_xlfn.NORM.S.INV(RAND()))</f>
        <v/>
      </c>
    </row>
    <row r="7910">
      <c r="F7910">
        <f>F7909+1</f>
        <v/>
      </c>
      <c r="G7910" s="92">
        <f>EXP($C$12+$C$8*_xlfn.NORM.S.INV(RAND()))</f>
        <v/>
      </c>
    </row>
    <row r="7911">
      <c r="F7911">
        <f>F7910+1</f>
        <v/>
      </c>
      <c r="G7911" s="92">
        <f>EXP($C$12+$C$8*_xlfn.NORM.S.INV(RAND()))</f>
        <v/>
      </c>
    </row>
    <row r="7912">
      <c r="F7912">
        <f>F7911+1</f>
        <v/>
      </c>
      <c r="G7912" s="92">
        <f>EXP($C$12+$C$8*_xlfn.NORM.S.INV(RAND()))</f>
        <v/>
      </c>
    </row>
    <row r="7913">
      <c r="F7913">
        <f>F7912+1</f>
        <v/>
      </c>
      <c r="G7913" s="92">
        <f>EXP($C$12+$C$8*_xlfn.NORM.S.INV(RAND()))</f>
        <v/>
      </c>
    </row>
    <row r="7914">
      <c r="F7914">
        <f>F7913+1</f>
        <v/>
      </c>
      <c r="G7914" s="92">
        <f>EXP($C$12+$C$8*_xlfn.NORM.S.INV(RAND()))</f>
        <v/>
      </c>
    </row>
    <row r="7915">
      <c r="F7915">
        <f>F7914+1</f>
        <v/>
      </c>
      <c r="G7915" s="92">
        <f>EXP($C$12+$C$8*_xlfn.NORM.S.INV(RAND()))</f>
        <v/>
      </c>
    </row>
    <row r="7916">
      <c r="F7916">
        <f>F7915+1</f>
        <v/>
      </c>
      <c r="G7916" s="92">
        <f>EXP($C$12+$C$8*_xlfn.NORM.S.INV(RAND()))</f>
        <v/>
      </c>
    </row>
    <row r="7917">
      <c r="F7917">
        <f>F7916+1</f>
        <v/>
      </c>
      <c r="G7917" s="92">
        <f>EXP($C$12+$C$8*_xlfn.NORM.S.INV(RAND()))</f>
        <v/>
      </c>
    </row>
    <row r="7918">
      <c r="F7918">
        <f>F7917+1</f>
        <v/>
      </c>
      <c r="G7918" s="92">
        <f>EXP($C$12+$C$8*_xlfn.NORM.S.INV(RAND()))</f>
        <v/>
      </c>
    </row>
    <row r="7919">
      <c r="F7919">
        <f>F7918+1</f>
        <v/>
      </c>
      <c r="G7919" s="92">
        <f>EXP($C$12+$C$8*_xlfn.NORM.S.INV(RAND()))</f>
        <v/>
      </c>
    </row>
    <row r="7920">
      <c r="F7920">
        <f>F7919+1</f>
        <v/>
      </c>
      <c r="G7920" s="92">
        <f>EXP($C$12+$C$8*_xlfn.NORM.S.INV(RAND()))</f>
        <v/>
      </c>
    </row>
    <row r="7921">
      <c r="F7921">
        <f>F7920+1</f>
        <v/>
      </c>
      <c r="G7921" s="92">
        <f>EXP($C$12+$C$8*_xlfn.NORM.S.INV(RAND()))</f>
        <v/>
      </c>
    </row>
    <row r="7922">
      <c r="F7922">
        <f>F7921+1</f>
        <v/>
      </c>
      <c r="G7922" s="92">
        <f>EXP($C$12+$C$8*_xlfn.NORM.S.INV(RAND()))</f>
        <v/>
      </c>
    </row>
    <row r="7923">
      <c r="F7923">
        <f>F7922+1</f>
        <v/>
      </c>
      <c r="G7923" s="92">
        <f>EXP($C$12+$C$8*_xlfn.NORM.S.INV(RAND()))</f>
        <v/>
      </c>
    </row>
    <row r="7924">
      <c r="F7924">
        <f>F7923+1</f>
        <v/>
      </c>
      <c r="G7924" s="92">
        <f>EXP($C$12+$C$8*_xlfn.NORM.S.INV(RAND()))</f>
        <v/>
      </c>
    </row>
    <row r="7925">
      <c r="F7925">
        <f>F7924+1</f>
        <v/>
      </c>
      <c r="G7925" s="92">
        <f>EXP($C$12+$C$8*_xlfn.NORM.S.INV(RAND()))</f>
        <v/>
      </c>
    </row>
    <row r="7926">
      <c r="F7926">
        <f>F7925+1</f>
        <v/>
      </c>
      <c r="G7926" s="92">
        <f>EXP($C$12+$C$8*_xlfn.NORM.S.INV(RAND()))</f>
        <v/>
      </c>
    </row>
    <row r="7927">
      <c r="F7927">
        <f>F7926+1</f>
        <v/>
      </c>
      <c r="G7927" s="92">
        <f>EXP($C$12+$C$8*_xlfn.NORM.S.INV(RAND()))</f>
        <v/>
      </c>
    </row>
    <row r="7928">
      <c r="F7928">
        <f>F7927+1</f>
        <v/>
      </c>
      <c r="G7928" s="92">
        <f>EXP($C$12+$C$8*_xlfn.NORM.S.INV(RAND()))</f>
        <v/>
      </c>
    </row>
    <row r="7929">
      <c r="F7929">
        <f>F7928+1</f>
        <v/>
      </c>
      <c r="G7929" s="92">
        <f>EXP($C$12+$C$8*_xlfn.NORM.S.INV(RAND()))</f>
        <v/>
      </c>
    </row>
    <row r="7930">
      <c r="F7930">
        <f>F7929+1</f>
        <v/>
      </c>
      <c r="G7930" s="92">
        <f>EXP($C$12+$C$8*_xlfn.NORM.S.INV(RAND()))</f>
        <v/>
      </c>
    </row>
    <row r="7931">
      <c r="F7931">
        <f>F7930+1</f>
        <v/>
      </c>
      <c r="G7931" s="92">
        <f>EXP($C$12+$C$8*_xlfn.NORM.S.INV(RAND()))</f>
        <v/>
      </c>
    </row>
    <row r="7932">
      <c r="F7932">
        <f>F7931+1</f>
        <v/>
      </c>
      <c r="G7932" s="92">
        <f>EXP($C$12+$C$8*_xlfn.NORM.S.INV(RAND()))</f>
        <v/>
      </c>
    </row>
    <row r="7933">
      <c r="F7933">
        <f>F7932+1</f>
        <v/>
      </c>
      <c r="G7933" s="92">
        <f>EXP($C$12+$C$8*_xlfn.NORM.S.INV(RAND()))</f>
        <v/>
      </c>
    </row>
    <row r="7934">
      <c r="F7934">
        <f>F7933+1</f>
        <v/>
      </c>
      <c r="G7934" s="92">
        <f>EXP($C$12+$C$8*_xlfn.NORM.S.INV(RAND()))</f>
        <v/>
      </c>
    </row>
    <row r="7935">
      <c r="F7935">
        <f>F7934+1</f>
        <v/>
      </c>
      <c r="G7935" s="92">
        <f>EXP($C$12+$C$8*_xlfn.NORM.S.INV(RAND()))</f>
        <v/>
      </c>
    </row>
    <row r="7936">
      <c r="F7936">
        <f>F7935+1</f>
        <v/>
      </c>
      <c r="G7936" s="92">
        <f>EXP($C$12+$C$8*_xlfn.NORM.S.INV(RAND()))</f>
        <v/>
      </c>
    </row>
    <row r="7937">
      <c r="F7937">
        <f>F7936+1</f>
        <v/>
      </c>
      <c r="G7937" s="92">
        <f>EXP($C$12+$C$8*_xlfn.NORM.S.INV(RAND()))</f>
        <v/>
      </c>
    </row>
    <row r="7938">
      <c r="F7938">
        <f>F7937+1</f>
        <v/>
      </c>
      <c r="G7938" s="92">
        <f>EXP($C$12+$C$8*_xlfn.NORM.S.INV(RAND()))</f>
        <v/>
      </c>
    </row>
    <row r="7939">
      <c r="F7939">
        <f>F7938+1</f>
        <v/>
      </c>
      <c r="G7939" s="92">
        <f>EXP($C$12+$C$8*_xlfn.NORM.S.INV(RAND()))</f>
        <v/>
      </c>
    </row>
    <row r="7940">
      <c r="F7940">
        <f>F7939+1</f>
        <v/>
      </c>
      <c r="G7940" s="92">
        <f>EXP($C$12+$C$8*_xlfn.NORM.S.INV(RAND()))</f>
        <v/>
      </c>
    </row>
    <row r="7941">
      <c r="F7941">
        <f>F7940+1</f>
        <v/>
      </c>
      <c r="G7941" s="92">
        <f>EXP($C$12+$C$8*_xlfn.NORM.S.INV(RAND()))</f>
        <v/>
      </c>
    </row>
    <row r="7942">
      <c r="F7942">
        <f>F7941+1</f>
        <v/>
      </c>
      <c r="G7942" s="92">
        <f>EXP($C$12+$C$8*_xlfn.NORM.S.INV(RAND()))</f>
        <v/>
      </c>
    </row>
    <row r="7943">
      <c r="F7943">
        <f>F7942+1</f>
        <v/>
      </c>
      <c r="G7943" s="92">
        <f>EXP($C$12+$C$8*_xlfn.NORM.S.INV(RAND()))</f>
        <v/>
      </c>
    </row>
    <row r="7944">
      <c r="F7944">
        <f>F7943+1</f>
        <v/>
      </c>
      <c r="G7944" s="92">
        <f>EXP($C$12+$C$8*_xlfn.NORM.S.INV(RAND()))</f>
        <v/>
      </c>
    </row>
    <row r="7945">
      <c r="F7945">
        <f>F7944+1</f>
        <v/>
      </c>
      <c r="G7945" s="92">
        <f>EXP($C$12+$C$8*_xlfn.NORM.S.INV(RAND()))</f>
        <v/>
      </c>
    </row>
    <row r="7946">
      <c r="F7946">
        <f>F7945+1</f>
        <v/>
      </c>
      <c r="G7946" s="92">
        <f>EXP($C$12+$C$8*_xlfn.NORM.S.INV(RAND()))</f>
        <v/>
      </c>
    </row>
    <row r="7947">
      <c r="F7947">
        <f>F7946+1</f>
        <v/>
      </c>
      <c r="G7947" s="92">
        <f>EXP($C$12+$C$8*_xlfn.NORM.S.INV(RAND()))</f>
        <v/>
      </c>
    </row>
    <row r="7948">
      <c r="F7948">
        <f>F7947+1</f>
        <v/>
      </c>
      <c r="G7948" s="92">
        <f>EXP($C$12+$C$8*_xlfn.NORM.S.INV(RAND()))</f>
        <v/>
      </c>
    </row>
    <row r="7949">
      <c r="F7949">
        <f>F7948+1</f>
        <v/>
      </c>
      <c r="G7949" s="92">
        <f>EXP($C$12+$C$8*_xlfn.NORM.S.INV(RAND()))</f>
        <v/>
      </c>
    </row>
    <row r="7950">
      <c r="F7950">
        <f>F7949+1</f>
        <v/>
      </c>
      <c r="G7950" s="92">
        <f>EXP($C$12+$C$8*_xlfn.NORM.S.INV(RAND()))</f>
        <v/>
      </c>
    </row>
    <row r="7951">
      <c r="F7951">
        <f>F7950+1</f>
        <v/>
      </c>
      <c r="G7951" s="92">
        <f>EXP($C$12+$C$8*_xlfn.NORM.S.INV(RAND()))</f>
        <v/>
      </c>
    </row>
    <row r="7952">
      <c r="F7952">
        <f>F7951+1</f>
        <v/>
      </c>
      <c r="G7952" s="92">
        <f>EXP($C$12+$C$8*_xlfn.NORM.S.INV(RAND()))</f>
        <v/>
      </c>
    </row>
    <row r="7953">
      <c r="F7953">
        <f>F7952+1</f>
        <v/>
      </c>
      <c r="G7953" s="92">
        <f>EXP($C$12+$C$8*_xlfn.NORM.S.INV(RAND()))</f>
        <v/>
      </c>
    </row>
    <row r="7954">
      <c r="F7954">
        <f>F7953+1</f>
        <v/>
      </c>
      <c r="G7954" s="92">
        <f>EXP($C$12+$C$8*_xlfn.NORM.S.INV(RAND()))</f>
        <v/>
      </c>
    </row>
    <row r="7955">
      <c r="F7955">
        <f>F7954+1</f>
        <v/>
      </c>
      <c r="G7955" s="92">
        <f>EXP($C$12+$C$8*_xlfn.NORM.S.INV(RAND()))</f>
        <v/>
      </c>
    </row>
    <row r="7956">
      <c r="F7956">
        <f>F7955+1</f>
        <v/>
      </c>
      <c r="G7956" s="92">
        <f>EXP($C$12+$C$8*_xlfn.NORM.S.INV(RAND()))</f>
        <v/>
      </c>
    </row>
    <row r="7957">
      <c r="F7957">
        <f>F7956+1</f>
        <v/>
      </c>
      <c r="G7957" s="92">
        <f>EXP($C$12+$C$8*_xlfn.NORM.S.INV(RAND()))</f>
        <v/>
      </c>
    </row>
    <row r="7958">
      <c r="F7958">
        <f>F7957+1</f>
        <v/>
      </c>
      <c r="G7958" s="92">
        <f>EXP($C$12+$C$8*_xlfn.NORM.S.INV(RAND()))</f>
        <v/>
      </c>
    </row>
    <row r="7959">
      <c r="F7959">
        <f>F7958+1</f>
        <v/>
      </c>
      <c r="G7959" s="92">
        <f>EXP($C$12+$C$8*_xlfn.NORM.S.INV(RAND()))</f>
        <v/>
      </c>
    </row>
    <row r="7960">
      <c r="F7960">
        <f>F7959+1</f>
        <v/>
      </c>
      <c r="G7960" s="92">
        <f>EXP($C$12+$C$8*_xlfn.NORM.S.INV(RAND()))</f>
        <v/>
      </c>
    </row>
    <row r="7961">
      <c r="F7961">
        <f>F7960+1</f>
        <v/>
      </c>
      <c r="G7961" s="92">
        <f>EXP($C$12+$C$8*_xlfn.NORM.S.INV(RAND()))</f>
        <v/>
      </c>
    </row>
    <row r="7962">
      <c r="F7962">
        <f>F7961+1</f>
        <v/>
      </c>
      <c r="G7962" s="92">
        <f>EXP($C$12+$C$8*_xlfn.NORM.S.INV(RAND()))</f>
        <v/>
      </c>
    </row>
    <row r="7963">
      <c r="F7963">
        <f>F7962+1</f>
        <v/>
      </c>
      <c r="G7963" s="92">
        <f>EXP($C$12+$C$8*_xlfn.NORM.S.INV(RAND()))</f>
        <v/>
      </c>
    </row>
    <row r="7964">
      <c r="F7964">
        <f>F7963+1</f>
        <v/>
      </c>
      <c r="G7964" s="92">
        <f>EXP($C$12+$C$8*_xlfn.NORM.S.INV(RAND()))</f>
        <v/>
      </c>
    </row>
    <row r="7965">
      <c r="F7965">
        <f>F7964+1</f>
        <v/>
      </c>
      <c r="G7965" s="92">
        <f>EXP($C$12+$C$8*_xlfn.NORM.S.INV(RAND()))</f>
        <v/>
      </c>
    </row>
    <row r="7966">
      <c r="F7966">
        <f>F7965+1</f>
        <v/>
      </c>
      <c r="G7966" s="92">
        <f>EXP($C$12+$C$8*_xlfn.NORM.S.INV(RAND()))</f>
        <v/>
      </c>
    </row>
    <row r="7967">
      <c r="F7967">
        <f>F7966+1</f>
        <v/>
      </c>
      <c r="G7967" s="92">
        <f>EXP($C$12+$C$8*_xlfn.NORM.S.INV(RAND()))</f>
        <v/>
      </c>
    </row>
    <row r="7968">
      <c r="F7968">
        <f>F7967+1</f>
        <v/>
      </c>
      <c r="G7968" s="92">
        <f>EXP($C$12+$C$8*_xlfn.NORM.S.INV(RAND()))</f>
        <v/>
      </c>
    </row>
    <row r="7969">
      <c r="F7969">
        <f>F7968+1</f>
        <v/>
      </c>
      <c r="G7969" s="92">
        <f>EXP($C$12+$C$8*_xlfn.NORM.S.INV(RAND()))</f>
        <v/>
      </c>
    </row>
    <row r="7970">
      <c r="F7970">
        <f>F7969+1</f>
        <v/>
      </c>
      <c r="G7970" s="92">
        <f>EXP($C$12+$C$8*_xlfn.NORM.S.INV(RAND()))</f>
        <v/>
      </c>
    </row>
    <row r="7971">
      <c r="F7971">
        <f>F7970+1</f>
        <v/>
      </c>
      <c r="G7971" s="92">
        <f>EXP($C$12+$C$8*_xlfn.NORM.S.INV(RAND()))</f>
        <v/>
      </c>
    </row>
    <row r="7972">
      <c r="F7972">
        <f>F7971+1</f>
        <v/>
      </c>
      <c r="G7972" s="92">
        <f>EXP($C$12+$C$8*_xlfn.NORM.S.INV(RAND()))</f>
        <v/>
      </c>
    </row>
    <row r="7973">
      <c r="F7973">
        <f>F7972+1</f>
        <v/>
      </c>
      <c r="G7973" s="92">
        <f>EXP($C$12+$C$8*_xlfn.NORM.S.INV(RAND()))</f>
        <v/>
      </c>
    </row>
    <row r="7974">
      <c r="F7974">
        <f>F7973+1</f>
        <v/>
      </c>
      <c r="G7974" s="92">
        <f>EXP($C$12+$C$8*_xlfn.NORM.S.INV(RAND()))</f>
        <v/>
      </c>
    </row>
    <row r="7975">
      <c r="F7975">
        <f>F7974+1</f>
        <v/>
      </c>
      <c r="G7975" s="92">
        <f>EXP($C$12+$C$8*_xlfn.NORM.S.INV(RAND()))</f>
        <v/>
      </c>
    </row>
    <row r="7976">
      <c r="F7976">
        <f>F7975+1</f>
        <v/>
      </c>
      <c r="G7976" s="92">
        <f>EXP($C$12+$C$8*_xlfn.NORM.S.INV(RAND()))</f>
        <v/>
      </c>
    </row>
    <row r="7977">
      <c r="F7977">
        <f>F7976+1</f>
        <v/>
      </c>
      <c r="G7977" s="92">
        <f>EXP($C$12+$C$8*_xlfn.NORM.S.INV(RAND()))</f>
        <v/>
      </c>
    </row>
    <row r="7978">
      <c r="F7978">
        <f>F7977+1</f>
        <v/>
      </c>
      <c r="G7978" s="92">
        <f>EXP($C$12+$C$8*_xlfn.NORM.S.INV(RAND()))</f>
        <v/>
      </c>
    </row>
    <row r="7979">
      <c r="F7979">
        <f>F7978+1</f>
        <v/>
      </c>
      <c r="G7979" s="92">
        <f>EXP($C$12+$C$8*_xlfn.NORM.S.INV(RAND()))</f>
        <v/>
      </c>
    </row>
    <row r="7980">
      <c r="F7980">
        <f>F7979+1</f>
        <v/>
      </c>
      <c r="G7980" s="92">
        <f>EXP($C$12+$C$8*_xlfn.NORM.S.INV(RAND()))</f>
        <v/>
      </c>
    </row>
    <row r="7981">
      <c r="F7981">
        <f>F7980+1</f>
        <v/>
      </c>
      <c r="G7981" s="92">
        <f>EXP($C$12+$C$8*_xlfn.NORM.S.INV(RAND()))</f>
        <v/>
      </c>
    </row>
    <row r="7982">
      <c r="F7982">
        <f>F7981+1</f>
        <v/>
      </c>
      <c r="G7982" s="92">
        <f>EXP($C$12+$C$8*_xlfn.NORM.S.INV(RAND()))</f>
        <v/>
      </c>
    </row>
    <row r="7983">
      <c r="F7983">
        <f>F7982+1</f>
        <v/>
      </c>
      <c r="G7983" s="92">
        <f>EXP($C$12+$C$8*_xlfn.NORM.S.INV(RAND()))</f>
        <v/>
      </c>
    </row>
    <row r="7984">
      <c r="F7984">
        <f>F7983+1</f>
        <v/>
      </c>
      <c r="G7984" s="92">
        <f>EXP($C$12+$C$8*_xlfn.NORM.S.INV(RAND()))</f>
        <v/>
      </c>
    </row>
    <row r="7985">
      <c r="F7985">
        <f>F7984+1</f>
        <v/>
      </c>
      <c r="G7985" s="92">
        <f>EXP($C$12+$C$8*_xlfn.NORM.S.INV(RAND()))</f>
        <v/>
      </c>
    </row>
    <row r="7986">
      <c r="F7986">
        <f>F7985+1</f>
        <v/>
      </c>
      <c r="G7986" s="92">
        <f>EXP($C$12+$C$8*_xlfn.NORM.S.INV(RAND()))</f>
        <v/>
      </c>
    </row>
    <row r="7987">
      <c r="F7987">
        <f>F7986+1</f>
        <v/>
      </c>
      <c r="G7987" s="92">
        <f>EXP($C$12+$C$8*_xlfn.NORM.S.INV(RAND()))</f>
        <v/>
      </c>
    </row>
    <row r="7988">
      <c r="F7988">
        <f>F7987+1</f>
        <v/>
      </c>
      <c r="G7988" s="92">
        <f>EXP($C$12+$C$8*_xlfn.NORM.S.INV(RAND()))</f>
        <v/>
      </c>
    </row>
    <row r="7989">
      <c r="F7989">
        <f>F7988+1</f>
        <v/>
      </c>
      <c r="G7989" s="92">
        <f>EXP($C$12+$C$8*_xlfn.NORM.S.INV(RAND()))</f>
        <v/>
      </c>
    </row>
    <row r="7990">
      <c r="F7990">
        <f>F7989+1</f>
        <v/>
      </c>
      <c r="G7990" s="92">
        <f>EXP($C$12+$C$8*_xlfn.NORM.S.INV(RAND()))</f>
        <v/>
      </c>
    </row>
    <row r="7991">
      <c r="F7991">
        <f>F7990+1</f>
        <v/>
      </c>
      <c r="G7991" s="92">
        <f>EXP($C$12+$C$8*_xlfn.NORM.S.INV(RAND()))</f>
        <v/>
      </c>
    </row>
    <row r="7992">
      <c r="F7992">
        <f>F7991+1</f>
        <v/>
      </c>
      <c r="G7992" s="92">
        <f>EXP($C$12+$C$8*_xlfn.NORM.S.INV(RAND()))</f>
        <v/>
      </c>
    </row>
    <row r="7993">
      <c r="F7993">
        <f>F7992+1</f>
        <v/>
      </c>
      <c r="G7993" s="92">
        <f>EXP($C$12+$C$8*_xlfn.NORM.S.INV(RAND()))</f>
        <v/>
      </c>
    </row>
    <row r="7994">
      <c r="F7994">
        <f>F7993+1</f>
        <v/>
      </c>
      <c r="G7994" s="92">
        <f>EXP($C$12+$C$8*_xlfn.NORM.S.INV(RAND()))</f>
        <v/>
      </c>
    </row>
    <row r="7995">
      <c r="F7995">
        <f>F7994+1</f>
        <v/>
      </c>
      <c r="G7995" s="92">
        <f>EXP($C$12+$C$8*_xlfn.NORM.S.INV(RAND()))</f>
        <v/>
      </c>
    </row>
    <row r="7996">
      <c r="F7996">
        <f>F7995+1</f>
        <v/>
      </c>
      <c r="G7996" s="92">
        <f>EXP($C$12+$C$8*_xlfn.NORM.S.INV(RAND()))</f>
        <v/>
      </c>
    </row>
    <row r="7997">
      <c r="F7997">
        <f>F7996+1</f>
        <v/>
      </c>
      <c r="G7997" s="92">
        <f>EXP($C$12+$C$8*_xlfn.NORM.S.INV(RAND()))</f>
        <v/>
      </c>
    </row>
    <row r="7998">
      <c r="F7998">
        <f>F7997+1</f>
        <v/>
      </c>
      <c r="G7998" s="92">
        <f>EXP($C$12+$C$8*_xlfn.NORM.S.INV(RAND()))</f>
        <v/>
      </c>
    </row>
    <row r="7999">
      <c r="F7999">
        <f>F7998+1</f>
        <v/>
      </c>
      <c r="G7999" s="92">
        <f>EXP($C$12+$C$8*_xlfn.NORM.S.INV(RAND()))</f>
        <v/>
      </c>
    </row>
    <row r="8000">
      <c r="F8000">
        <f>F7999+1</f>
        <v/>
      </c>
      <c r="G8000" s="92">
        <f>EXP($C$12+$C$8*_xlfn.NORM.S.INV(RAND()))</f>
        <v/>
      </c>
    </row>
    <row r="8001">
      <c r="F8001">
        <f>F8000+1</f>
        <v/>
      </c>
      <c r="G8001" s="92">
        <f>EXP($C$12+$C$8*_xlfn.NORM.S.INV(RAND()))</f>
        <v/>
      </c>
    </row>
    <row r="8002">
      <c r="F8002">
        <f>F8001+1</f>
        <v/>
      </c>
      <c r="G8002" s="92">
        <f>EXP($C$12+$C$8*_xlfn.NORM.S.INV(RAND()))</f>
        <v/>
      </c>
    </row>
    <row r="8003">
      <c r="F8003">
        <f>F8002+1</f>
        <v/>
      </c>
      <c r="G8003" s="92">
        <f>EXP($C$12+$C$8*_xlfn.NORM.S.INV(RAND()))</f>
        <v/>
      </c>
    </row>
    <row r="8004">
      <c r="F8004">
        <f>F8003+1</f>
        <v/>
      </c>
      <c r="G8004" s="92">
        <f>EXP($C$12+$C$8*_xlfn.NORM.S.INV(RAND()))</f>
        <v/>
      </c>
    </row>
    <row r="8005">
      <c r="F8005">
        <f>F8004+1</f>
        <v/>
      </c>
      <c r="G8005" s="92">
        <f>EXP($C$12+$C$8*_xlfn.NORM.S.INV(RAND()))</f>
        <v/>
      </c>
    </row>
    <row r="8006">
      <c r="F8006">
        <f>F8005+1</f>
        <v/>
      </c>
      <c r="G8006" s="92">
        <f>EXP($C$12+$C$8*_xlfn.NORM.S.INV(RAND()))</f>
        <v/>
      </c>
    </row>
    <row r="8007">
      <c r="F8007">
        <f>F8006+1</f>
        <v/>
      </c>
      <c r="G8007" s="92">
        <f>EXP($C$12+$C$8*_xlfn.NORM.S.INV(RAND()))</f>
        <v/>
      </c>
    </row>
    <row r="8008">
      <c r="F8008">
        <f>F8007+1</f>
        <v/>
      </c>
      <c r="G8008" s="92">
        <f>EXP($C$12+$C$8*_xlfn.NORM.S.INV(RAND()))</f>
        <v/>
      </c>
    </row>
    <row r="8009">
      <c r="F8009">
        <f>F8008+1</f>
        <v/>
      </c>
      <c r="G8009" s="92">
        <f>EXP($C$12+$C$8*_xlfn.NORM.S.INV(RAND()))</f>
        <v/>
      </c>
    </row>
    <row r="8010">
      <c r="F8010">
        <f>F8009+1</f>
        <v/>
      </c>
      <c r="G8010" s="92">
        <f>EXP($C$12+$C$8*_xlfn.NORM.S.INV(RAND()))</f>
        <v/>
      </c>
    </row>
    <row r="8011">
      <c r="F8011">
        <f>F8010+1</f>
        <v/>
      </c>
      <c r="G8011" s="92">
        <f>EXP($C$12+$C$8*_xlfn.NORM.S.INV(RAND()))</f>
        <v/>
      </c>
    </row>
    <row r="8012">
      <c r="F8012">
        <f>F8011+1</f>
        <v/>
      </c>
      <c r="G8012" s="92">
        <f>EXP($C$12+$C$8*_xlfn.NORM.S.INV(RAND()))</f>
        <v/>
      </c>
    </row>
    <row r="8013">
      <c r="F8013">
        <f>F8012+1</f>
        <v/>
      </c>
      <c r="G8013" s="92">
        <f>EXP($C$12+$C$8*_xlfn.NORM.S.INV(RAND()))</f>
        <v/>
      </c>
    </row>
    <row r="8014">
      <c r="F8014">
        <f>F8013+1</f>
        <v/>
      </c>
      <c r="G8014" s="92">
        <f>EXP($C$12+$C$8*_xlfn.NORM.S.INV(RAND()))</f>
        <v/>
      </c>
    </row>
    <row r="8015">
      <c r="F8015">
        <f>F8014+1</f>
        <v/>
      </c>
      <c r="G8015" s="92">
        <f>EXP($C$12+$C$8*_xlfn.NORM.S.INV(RAND()))</f>
        <v/>
      </c>
    </row>
    <row r="8016">
      <c r="F8016">
        <f>F8015+1</f>
        <v/>
      </c>
      <c r="G8016" s="92">
        <f>EXP($C$12+$C$8*_xlfn.NORM.S.INV(RAND()))</f>
        <v/>
      </c>
    </row>
    <row r="8017">
      <c r="F8017">
        <f>F8016+1</f>
        <v/>
      </c>
      <c r="G8017" s="92">
        <f>EXP($C$12+$C$8*_xlfn.NORM.S.INV(RAND()))</f>
        <v/>
      </c>
    </row>
    <row r="8018">
      <c r="F8018">
        <f>F8017+1</f>
        <v/>
      </c>
      <c r="G8018" s="92">
        <f>EXP($C$12+$C$8*_xlfn.NORM.S.INV(RAND()))</f>
        <v/>
      </c>
    </row>
    <row r="8019">
      <c r="F8019">
        <f>F8018+1</f>
        <v/>
      </c>
      <c r="G8019" s="92">
        <f>EXP($C$12+$C$8*_xlfn.NORM.S.INV(RAND()))</f>
        <v/>
      </c>
    </row>
    <row r="8020">
      <c r="F8020">
        <f>F8019+1</f>
        <v/>
      </c>
      <c r="G8020" s="92">
        <f>EXP($C$12+$C$8*_xlfn.NORM.S.INV(RAND()))</f>
        <v/>
      </c>
    </row>
    <row r="8021">
      <c r="F8021">
        <f>F8020+1</f>
        <v/>
      </c>
      <c r="G8021" s="92">
        <f>EXP($C$12+$C$8*_xlfn.NORM.S.INV(RAND()))</f>
        <v/>
      </c>
    </row>
    <row r="8022">
      <c r="F8022">
        <f>F8021+1</f>
        <v/>
      </c>
      <c r="G8022" s="92">
        <f>EXP($C$12+$C$8*_xlfn.NORM.S.INV(RAND()))</f>
        <v/>
      </c>
    </row>
    <row r="8023">
      <c r="F8023">
        <f>F8022+1</f>
        <v/>
      </c>
      <c r="G8023" s="92">
        <f>EXP($C$12+$C$8*_xlfn.NORM.S.INV(RAND()))</f>
        <v/>
      </c>
    </row>
    <row r="8024">
      <c r="F8024">
        <f>F8023+1</f>
        <v/>
      </c>
      <c r="G8024" s="92">
        <f>EXP($C$12+$C$8*_xlfn.NORM.S.INV(RAND()))</f>
        <v/>
      </c>
    </row>
    <row r="8025">
      <c r="F8025">
        <f>F8024+1</f>
        <v/>
      </c>
      <c r="G8025" s="92">
        <f>EXP($C$12+$C$8*_xlfn.NORM.S.INV(RAND()))</f>
        <v/>
      </c>
    </row>
    <row r="8026">
      <c r="F8026">
        <f>F8025+1</f>
        <v/>
      </c>
      <c r="G8026" s="92">
        <f>EXP($C$12+$C$8*_xlfn.NORM.S.INV(RAND()))</f>
        <v/>
      </c>
    </row>
    <row r="8027">
      <c r="F8027">
        <f>F8026+1</f>
        <v/>
      </c>
      <c r="G8027" s="92">
        <f>EXP($C$12+$C$8*_xlfn.NORM.S.INV(RAND()))</f>
        <v/>
      </c>
    </row>
    <row r="8028">
      <c r="F8028">
        <f>F8027+1</f>
        <v/>
      </c>
      <c r="G8028" s="92">
        <f>EXP($C$12+$C$8*_xlfn.NORM.S.INV(RAND()))</f>
        <v/>
      </c>
    </row>
    <row r="8029">
      <c r="F8029">
        <f>F8028+1</f>
        <v/>
      </c>
      <c r="G8029" s="92">
        <f>EXP($C$12+$C$8*_xlfn.NORM.S.INV(RAND()))</f>
        <v/>
      </c>
    </row>
    <row r="8030">
      <c r="F8030">
        <f>F8029+1</f>
        <v/>
      </c>
      <c r="G8030" s="92">
        <f>EXP($C$12+$C$8*_xlfn.NORM.S.INV(RAND()))</f>
        <v/>
      </c>
    </row>
    <row r="8031">
      <c r="F8031">
        <f>F8030+1</f>
        <v/>
      </c>
      <c r="G8031" s="92">
        <f>EXP($C$12+$C$8*_xlfn.NORM.S.INV(RAND()))</f>
        <v/>
      </c>
    </row>
    <row r="8032">
      <c r="F8032">
        <f>F8031+1</f>
        <v/>
      </c>
      <c r="G8032" s="92">
        <f>EXP($C$12+$C$8*_xlfn.NORM.S.INV(RAND()))</f>
        <v/>
      </c>
    </row>
    <row r="8033">
      <c r="F8033">
        <f>F8032+1</f>
        <v/>
      </c>
      <c r="G8033" s="92">
        <f>EXP($C$12+$C$8*_xlfn.NORM.S.INV(RAND()))</f>
        <v/>
      </c>
    </row>
    <row r="8034">
      <c r="F8034">
        <f>F8033+1</f>
        <v/>
      </c>
      <c r="G8034" s="92">
        <f>EXP($C$12+$C$8*_xlfn.NORM.S.INV(RAND()))</f>
        <v/>
      </c>
    </row>
    <row r="8035">
      <c r="F8035">
        <f>F8034+1</f>
        <v/>
      </c>
      <c r="G8035" s="92">
        <f>EXP($C$12+$C$8*_xlfn.NORM.S.INV(RAND()))</f>
        <v/>
      </c>
    </row>
    <row r="8036">
      <c r="F8036">
        <f>F8035+1</f>
        <v/>
      </c>
      <c r="G8036" s="92">
        <f>EXP($C$12+$C$8*_xlfn.NORM.S.INV(RAND()))</f>
        <v/>
      </c>
    </row>
    <row r="8037">
      <c r="F8037">
        <f>F8036+1</f>
        <v/>
      </c>
      <c r="G8037" s="92">
        <f>EXP($C$12+$C$8*_xlfn.NORM.S.INV(RAND()))</f>
        <v/>
      </c>
    </row>
    <row r="8038">
      <c r="F8038">
        <f>F8037+1</f>
        <v/>
      </c>
      <c r="G8038" s="92">
        <f>EXP($C$12+$C$8*_xlfn.NORM.S.INV(RAND()))</f>
        <v/>
      </c>
    </row>
    <row r="8039">
      <c r="F8039">
        <f>F8038+1</f>
        <v/>
      </c>
      <c r="G8039" s="92">
        <f>EXP($C$12+$C$8*_xlfn.NORM.S.INV(RAND()))</f>
        <v/>
      </c>
    </row>
    <row r="8040">
      <c r="F8040">
        <f>F8039+1</f>
        <v/>
      </c>
      <c r="G8040" s="92">
        <f>EXP($C$12+$C$8*_xlfn.NORM.S.INV(RAND()))</f>
        <v/>
      </c>
    </row>
    <row r="8041">
      <c r="F8041">
        <f>F8040+1</f>
        <v/>
      </c>
      <c r="G8041" s="92">
        <f>EXP($C$12+$C$8*_xlfn.NORM.S.INV(RAND()))</f>
        <v/>
      </c>
    </row>
    <row r="8042">
      <c r="F8042">
        <f>F8041+1</f>
        <v/>
      </c>
      <c r="G8042" s="92">
        <f>EXP($C$12+$C$8*_xlfn.NORM.S.INV(RAND()))</f>
        <v/>
      </c>
    </row>
    <row r="8043">
      <c r="F8043">
        <f>F8042+1</f>
        <v/>
      </c>
      <c r="G8043" s="92">
        <f>EXP($C$12+$C$8*_xlfn.NORM.S.INV(RAND()))</f>
        <v/>
      </c>
    </row>
    <row r="8044">
      <c r="F8044">
        <f>F8043+1</f>
        <v/>
      </c>
      <c r="G8044" s="92">
        <f>EXP($C$12+$C$8*_xlfn.NORM.S.INV(RAND()))</f>
        <v/>
      </c>
    </row>
    <row r="8045">
      <c r="F8045">
        <f>F8044+1</f>
        <v/>
      </c>
      <c r="G8045" s="92">
        <f>EXP($C$12+$C$8*_xlfn.NORM.S.INV(RAND()))</f>
        <v/>
      </c>
    </row>
    <row r="8046">
      <c r="F8046">
        <f>F8045+1</f>
        <v/>
      </c>
      <c r="G8046" s="92">
        <f>EXP($C$12+$C$8*_xlfn.NORM.S.INV(RAND()))</f>
        <v/>
      </c>
    </row>
    <row r="8047">
      <c r="F8047">
        <f>F8046+1</f>
        <v/>
      </c>
      <c r="G8047" s="92">
        <f>EXP($C$12+$C$8*_xlfn.NORM.S.INV(RAND()))</f>
        <v/>
      </c>
    </row>
    <row r="8048">
      <c r="F8048">
        <f>F8047+1</f>
        <v/>
      </c>
      <c r="G8048" s="92">
        <f>EXP($C$12+$C$8*_xlfn.NORM.S.INV(RAND()))</f>
        <v/>
      </c>
    </row>
    <row r="8049">
      <c r="F8049">
        <f>F8048+1</f>
        <v/>
      </c>
      <c r="G8049" s="92">
        <f>EXP($C$12+$C$8*_xlfn.NORM.S.INV(RAND()))</f>
        <v/>
      </c>
    </row>
    <row r="8050">
      <c r="F8050">
        <f>F8049+1</f>
        <v/>
      </c>
      <c r="G8050" s="92">
        <f>EXP($C$12+$C$8*_xlfn.NORM.S.INV(RAND()))</f>
        <v/>
      </c>
    </row>
    <row r="8051">
      <c r="F8051">
        <f>F8050+1</f>
        <v/>
      </c>
      <c r="G8051" s="92">
        <f>EXP($C$12+$C$8*_xlfn.NORM.S.INV(RAND()))</f>
        <v/>
      </c>
    </row>
    <row r="8052">
      <c r="F8052">
        <f>F8051+1</f>
        <v/>
      </c>
      <c r="G8052" s="92">
        <f>EXP($C$12+$C$8*_xlfn.NORM.S.INV(RAND()))</f>
        <v/>
      </c>
    </row>
    <row r="8053">
      <c r="F8053">
        <f>F8052+1</f>
        <v/>
      </c>
      <c r="G8053" s="92">
        <f>EXP($C$12+$C$8*_xlfn.NORM.S.INV(RAND()))</f>
        <v/>
      </c>
    </row>
    <row r="8054">
      <c r="F8054">
        <f>F8053+1</f>
        <v/>
      </c>
      <c r="G8054" s="92">
        <f>EXP($C$12+$C$8*_xlfn.NORM.S.INV(RAND()))</f>
        <v/>
      </c>
    </row>
    <row r="8055">
      <c r="F8055">
        <f>F8054+1</f>
        <v/>
      </c>
      <c r="G8055" s="92">
        <f>EXP($C$12+$C$8*_xlfn.NORM.S.INV(RAND()))</f>
        <v/>
      </c>
    </row>
    <row r="8056">
      <c r="F8056">
        <f>F8055+1</f>
        <v/>
      </c>
      <c r="G8056" s="92">
        <f>EXP($C$12+$C$8*_xlfn.NORM.S.INV(RAND()))</f>
        <v/>
      </c>
    </row>
    <row r="8057">
      <c r="F8057">
        <f>F8056+1</f>
        <v/>
      </c>
      <c r="G8057" s="92">
        <f>EXP($C$12+$C$8*_xlfn.NORM.S.INV(RAND()))</f>
        <v/>
      </c>
    </row>
    <row r="8058">
      <c r="F8058">
        <f>F8057+1</f>
        <v/>
      </c>
      <c r="G8058" s="92">
        <f>EXP($C$12+$C$8*_xlfn.NORM.S.INV(RAND()))</f>
        <v/>
      </c>
    </row>
    <row r="8059">
      <c r="F8059">
        <f>F8058+1</f>
        <v/>
      </c>
      <c r="G8059" s="92">
        <f>EXP($C$12+$C$8*_xlfn.NORM.S.INV(RAND()))</f>
        <v/>
      </c>
    </row>
    <row r="8060">
      <c r="F8060">
        <f>F8059+1</f>
        <v/>
      </c>
      <c r="G8060" s="92">
        <f>EXP($C$12+$C$8*_xlfn.NORM.S.INV(RAND()))</f>
        <v/>
      </c>
    </row>
    <row r="8061">
      <c r="F8061">
        <f>F8060+1</f>
        <v/>
      </c>
      <c r="G8061" s="92">
        <f>EXP($C$12+$C$8*_xlfn.NORM.S.INV(RAND()))</f>
        <v/>
      </c>
    </row>
    <row r="8062">
      <c r="F8062">
        <f>F8061+1</f>
        <v/>
      </c>
      <c r="G8062" s="92">
        <f>EXP($C$12+$C$8*_xlfn.NORM.S.INV(RAND()))</f>
        <v/>
      </c>
    </row>
    <row r="8063">
      <c r="F8063">
        <f>F8062+1</f>
        <v/>
      </c>
      <c r="G8063" s="92">
        <f>EXP($C$12+$C$8*_xlfn.NORM.S.INV(RAND()))</f>
        <v/>
      </c>
    </row>
    <row r="8064">
      <c r="F8064">
        <f>F8063+1</f>
        <v/>
      </c>
      <c r="G8064" s="92">
        <f>EXP($C$12+$C$8*_xlfn.NORM.S.INV(RAND()))</f>
        <v/>
      </c>
    </row>
    <row r="8065">
      <c r="F8065">
        <f>F8064+1</f>
        <v/>
      </c>
      <c r="G8065" s="92">
        <f>EXP($C$12+$C$8*_xlfn.NORM.S.INV(RAND()))</f>
        <v/>
      </c>
    </row>
    <row r="8066">
      <c r="F8066">
        <f>F8065+1</f>
        <v/>
      </c>
      <c r="G8066" s="92">
        <f>EXP($C$12+$C$8*_xlfn.NORM.S.INV(RAND()))</f>
        <v/>
      </c>
    </row>
    <row r="8067">
      <c r="F8067">
        <f>F8066+1</f>
        <v/>
      </c>
      <c r="G8067" s="92">
        <f>EXP($C$12+$C$8*_xlfn.NORM.S.INV(RAND()))</f>
        <v/>
      </c>
    </row>
    <row r="8068">
      <c r="F8068">
        <f>F8067+1</f>
        <v/>
      </c>
      <c r="G8068" s="92">
        <f>EXP($C$12+$C$8*_xlfn.NORM.S.INV(RAND()))</f>
        <v/>
      </c>
    </row>
    <row r="8069">
      <c r="F8069">
        <f>F8068+1</f>
        <v/>
      </c>
      <c r="G8069" s="92">
        <f>EXP($C$12+$C$8*_xlfn.NORM.S.INV(RAND()))</f>
        <v/>
      </c>
    </row>
    <row r="8070">
      <c r="F8070">
        <f>F8069+1</f>
        <v/>
      </c>
      <c r="G8070" s="92">
        <f>EXP($C$12+$C$8*_xlfn.NORM.S.INV(RAND()))</f>
        <v/>
      </c>
    </row>
    <row r="8071">
      <c r="F8071">
        <f>F8070+1</f>
        <v/>
      </c>
      <c r="G8071" s="92">
        <f>EXP($C$12+$C$8*_xlfn.NORM.S.INV(RAND()))</f>
        <v/>
      </c>
    </row>
    <row r="8072">
      <c r="F8072">
        <f>F8071+1</f>
        <v/>
      </c>
      <c r="G8072" s="92">
        <f>EXP($C$12+$C$8*_xlfn.NORM.S.INV(RAND()))</f>
        <v/>
      </c>
    </row>
    <row r="8073">
      <c r="F8073">
        <f>F8072+1</f>
        <v/>
      </c>
      <c r="G8073" s="92">
        <f>EXP($C$12+$C$8*_xlfn.NORM.S.INV(RAND()))</f>
        <v/>
      </c>
    </row>
    <row r="8074">
      <c r="F8074">
        <f>F8073+1</f>
        <v/>
      </c>
      <c r="G8074" s="92">
        <f>EXP($C$12+$C$8*_xlfn.NORM.S.INV(RAND()))</f>
        <v/>
      </c>
    </row>
    <row r="8075">
      <c r="F8075">
        <f>F8074+1</f>
        <v/>
      </c>
      <c r="G8075" s="92">
        <f>EXP($C$12+$C$8*_xlfn.NORM.S.INV(RAND()))</f>
        <v/>
      </c>
    </row>
    <row r="8076">
      <c r="F8076">
        <f>F8075+1</f>
        <v/>
      </c>
      <c r="G8076" s="92">
        <f>EXP($C$12+$C$8*_xlfn.NORM.S.INV(RAND()))</f>
        <v/>
      </c>
    </row>
    <row r="8077">
      <c r="F8077">
        <f>F8076+1</f>
        <v/>
      </c>
      <c r="G8077" s="92">
        <f>EXP($C$12+$C$8*_xlfn.NORM.S.INV(RAND()))</f>
        <v/>
      </c>
    </row>
    <row r="8078">
      <c r="F8078">
        <f>F8077+1</f>
        <v/>
      </c>
      <c r="G8078" s="92">
        <f>EXP($C$12+$C$8*_xlfn.NORM.S.INV(RAND()))</f>
        <v/>
      </c>
    </row>
    <row r="8079">
      <c r="F8079">
        <f>F8078+1</f>
        <v/>
      </c>
      <c r="G8079" s="92">
        <f>EXP($C$12+$C$8*_xlfn.NORM.S.INV(RAND()))</f>
        <v/>
      </c>
    </row>
    <row r="8080">
      <c r="F8080">
        <f>F8079+1</f>
        <v/>
      </c>
      <c r="G8080" s="92">
        <f>EXP($C$12+$C$8*_xlfn.NORM.S.INV(RAND()))</f>
        <v/>
      </c>
    </row>
    <row r="8081">
      <c r="F8081">
        <f>F8080+1</f>
        <v/>
      </c>
      <c r="G8081" s="92">
        <f>EXP($C$12+$C$8*_xlfn.NORM.S.INV(RAND()))</f>
        <v/>
      </c>
    </row>
    <row r="8082">
      <c r="F8082">
        <f>F8081+1</f>
        <v/>
      </c>
      <c r="G8082" s="92">
        <f>EXP($C$12+$C$8*_xlfn.NORM.S.INV(RAND()))</f>
        <v/>
      </c>
    </row>
    <row r="8083">
      <c r="F8083">
        <f>F8082+1</f>
        <v/>
      </c>
      <c r="G8083" s="92">
        <f>EXP($C$12+$C$8*_xlfn.NORM.S.INV(RAND()))</f>
        <v/>
      </c>
    </row>
    <row r="8084">
      <c r="F8084">
        <f>F8083+1</f>
        <v/>
      </c>
      <c r="G8084" s="92">
        <f>EXP($C$12+$C$8*_xlfn.NORM.S.INV(RAND()))</f>
        <v/>
      </c>
    </row>
    <row r="8085">
      <c r="F8085">
        <f>F8084+1</f>
        <v/>
      </c>
      <c r="G8085" s="92">
        <f>EXP($C$12+$C$8*_xlfn.NORM.S.INV(RAND()))</f>
        <v/>
      </c>
    </row>
    <row r="8086">
      <c r="F8086">
        <f>F8085+1</f>
        <v/>
      </c>
      <c r="G8086" s="92">
        <f>EXP($C$12+$C$8*_xlfn.NORM.S.INV(RAND()))</f>
        <v/>
      </c>
    </row>
    <row r="8087">
      <c r="F8087">
        <f>F8086+1</f>
        <v/>
      </c>
      <c r="G8087" s="92">
        <f>EXP($C$12+$C$8*_xlfn.NORM.S.INV(RAND()))</f>
        <v/>
      </c>
    </row>
    <row r="8088">
      <c r="F8088">
        <f>F8087+1</f>
        <v/>
      </c>
      <c r="G8088" s="92">
        <f>EXP($C$12+$C$8*_xlfn.NORM.S.INV(RAND()))</f>
        <v/>
      </c>
    </row>
    <row r="8089">
      <c r="F8089">
        <f>F8088+1</f>
        <v/>
      </c>
      <c r="G8089" s="92">
        <f>EXP($C$12+$C$8*_xlfn.NORM.S.INV(RAND()))</f>
        <v/>
      </c>
    </row>
    <row r="8090">
      <c r="F8090">
        <f>F8089+1</f>
        <v/>
      </c>
      <c r="G8090" s="92">
        <f>EXP($C$12+$C$8*_xlfn.NORM.S.INV(RAND()))</f>
        <v/>
      </c>
    </row>
    <row r="8091">
      <c r="F8091">
        <f>F8090+1</f>
        <v/>
      </c>
      <c r="G8091" s="92">
        <f>EXP($C$12+$C$8*_xlfn.NORM.S.INV(RAND()))</f>
        <v/>
      </c>
    </row>
    <row r="8092">
      <c r="F8092">
        <f>F8091+1</f>
        <v/>
      </c>
      <c r="G8092" s="92">
        <f>EXP($C$12+$C$8*_xlfn.NORM.S.INV(RAND()))</f>
        <v/>
      </c>
    </row>
    <row r="8093">
      <c r="F8093">
        <f>F8092+1</f>
        <v/>
      </c>
      <c r="G8093" s="92">
        <f>EXP($C$12+$C$8*_xlfn.NORM.S.INV(RAND()))</f>
        <v/>
      </c>
    </row>
    <row r="8094">
      <c r="F8094">
        <f>F8093+1</f>
        <v/>
      </c>
      <c r="G8094" s="92">
        <f>EXP($C$12+$C$8*_xlfn.NORM.S.INV(RAND()))</f>
        <v/>
      </c>
    </row>
    <row r="8095">
      <c r="F8095">
        <f>F8094+1</f>
        <v/>
      </c>
      <c r="G8095" s="92">
        <f>EXP($C$12+$C$8*_xlfn.NORM.S.INV(RAND()))</f>
        <v/>
      </c>
    </row>
    <row r="8096">
      <c r="F8096">
        <f>F8095+1</f>
        <v/>
      </c>
      <c r="G8096" s="92">
        <f>EXP($C$12+$C$8*_xlfn.NORM.S.INV(RAND()))</f>
        <v/>
      </c>
    </row>
    <row r="8097">
      <c r="F8097">
        <f>F8096+1</f>
        <v/>
      </c>
      <c r="G8097" s="92">
        <f>EXP($C$12+$C$8*_xlfn.NORM.S.INV(RAND()))</f>
        <v/>
      </c>
    </row>
    <row r="8098">
      <c r="F8098">
        <f>F8097+1</f>
        <v/>
      </c>
      <c r="G8098" s="92">
        <f>EXP($C$12+$C$8*_xlfn.NORM.S.INV(RAND()))</f>
        <v/>
      </c>
    </row>
    <row r="8099">
      <c r="F8099">
        <f>F8098+1</f>
        <v/>
      </c>
      <c r="G8099" s="92">
        <f>EXP($C$12+$C$8*_xlfn.NORM.S.INV(RAND()))</f>
        <v/>
      </c>
    </row>
    <row r="8100">
      <c r="F8100">
        <f>F8099+1</f>
        <v/>
      </c>
      <c r="G8100" s="92">
        <f>EXP($C$12+$C$8*_xlfn.NORM.S.INV(RAND()))</f>
        <v/>
      </c>
    </row>
    <row r="8101">
      <c r="F8101">
        <f>F8100+1</f>
        <v/>
      </c>
      <c r="G8101" s="92">
        <f>EXP($C$12+$C$8*_xlfn.NORM.S.INV(RAND()))</f>
        <v/>
      </c>
    </row>
    <row r="8102">
      <c r="F8102">
        <f>F8101+1</f>
        <v/>
      </c>
      <c r="G8102" s="92">
        <f>EXP($C$12+$C$8*_xlfn.NORM.S.INV(RAND()))</f>
        <v/>
      </c>
    </row>
    <row r="8103">
      <c r="F8103">
        <f>F8102+1</f>
        <v/>
      </c>
      <c r="G8103" s="92">
        <f>EXP($C$12+$C$8*_xlfn.NORM.S.INV(RAND()))</f>
        <v/>
      </c>
    </row>
    <row r="8104">
      <c r="F8104">
        <f>F8103+1</f>
        <v/>
      </c>
      <c r="G8104" s="92">
        <f>EXP($C$12+$C$8*_xlfn.NORM.S.INV(RAND()))</f>
        <v/>
      </c>
    </row>
    <row r="8105">
      <c r="F8105">
        <f>F8104+1</f>
        <v/>
      </c>
      <c r="G8105" s="92">
        <f>EXP($C$12+$C$8*_xlfn.NORM.S.INV(RAND()))</f>
        <v/>
      </c>
    </row>
    <row r="8106">
      <c r="F8106">
        <f>F8105+1</f>
        <v/>
      </c>
      <c r="G8106" s="92">
        <f>EXP($C$12+$C$8*_xlfn.NORM.S.INV(RAND()))</f>
        <v/>
      </c>
    </row>
    <row r="8107">
      <c r="F8107">
        <f>F8106+1</f>
        <v/>
      </c>
      <c r="G8107" s="92">
        <f>EXP($C$12+$C$8*_xlfn.NORM.S.INV(RAND()))</f>
        <v/>
      </c>
    </row>
    <row r="8108">
      <c r="F8108">
        <f>F8107+1</f>
        <v/>
      </c>
      <c r="G8108" s="92">
        <f>EXP($C$12+$C$8*_xlfn.NORM.S.INV(RAND()))</f>
        <v/>
      </c>
    </row>
    <row r="8109">
      <c r="F8109">
        <f>F8108+1</f>
        <v/>
      </c>
      <c r="G8109" s="92">
        <f>EXP($C$12+$C$8*_xlfn.NORM.S.INV(RAND()))</f>
        <v/>
      </c>
    </row>
    <row r="8110">
      <c r="F8110">
        <f>F8109+1</f>
        <v/>
      </c>
      <c r="G8110" s="92">
        <f>EXP($C$12+$C$8*_xlfn.NORM.S.INV(RAND()))</f>
        <v/>
      </c>
    </row>
    <row r="8111">
      <c r="F8111">
        <f>F8110+1</f>
        <v/>
      </c>
      <c r="G8111" s="92">
        <f>EXP($C$12+$C$8*_xlfn.NORM.S.INV(RAND()))</f>
        <v/>
      </c>
    </row>
    <row r="8112">
      <c r="F8112">
        <f>F8111+1</f>
        <v/>
      </c>
      <c r="G8112" s="92">
        <f>EXP($C$12+$C$8*_xlfn.NORM.S.INV(RAND()))</f>
        <v/>
      </c>
    </row>
    <row r="8113">
      <c r="F8113">
        <f>F8112+1</f>
        <v/>
      </c>
      <c r="G8113" s="92">
        <f>EXP($C$12+$C$8*_xlfn.NORM.S.INV(RAND()))</f>
        <v/>
      </c>
    </row>
    <row r="8114">
      <c r="F8114">
        <f>F8113+1</f>
        <v/>
      </c>
      <c r="G8114" s="92">
        <f>EXP($C$12+$C$8*_xlfn.NORM.S.INV(RAND()))</f>
        <v/>
      </c>
    </row>
    <row r="8115">
      <c r="F8115">
        <f>F8114+1</f>
        <v/>
      </c>
      <c r="G8115" s="92">
        <f>EXP($C$12+$C$8*_xlfn.NORM.S.INV(RAND()))</f>
        <v/>
      </c>
    </row>
    <row r="8116">
      <c r="F8116">
        <f>F8115+1</f>
        <v/>
      </c>
      <c r="G8116" s="92">
        <f>EXP($C$12+$C$8*_xlfn.NORM.S.INV(RAND()))</f>
        <v/>
      </c>
    </row>
    <row r="8117">
      <c r="F8117">
        <f>F8116+1</f>
        <v/>
      </c>
      <c r="G8117" s="92">
        <f>EXP($C$12+$C$8*_xlfn.NORM.S.INV(RAND()))</f>
        <v/>
      </c>
    </row>
    <row r="8118">
      <c r="F8118">
        <f>F8117+1</f>
        <v/>
      </c>
      <c r="G8118" s="92">
        <f>EXP($C$12+$C$8*_xlfn.NORM.S.INV(RAND()))</f>
        <v/>
      </c>
    </row>
    <row r="8119">
      <c r="F8119">
        <f>F8118+1</f>
        <v/>
      </c>
      <c r="G8119" s="92">
        <f>EXP($C$12+$C$8*_xlfn.NORM.S.INV(RAND()))</f>
        <v/>
      </c>
    </row>
    <row r="8120">
      <c r="F8120">
        <f>F8119+1</f>
        <v/>
      </c>
      <c r="G8120" s="92">
        <f>EXP($C$12+$C$8*_xlfn.NORM.S.INV(RAND()))</f>
        <v/>
      </c>
    </row>
    <row r="8121">
      <c r="F8121">
        <f>F8120+1</f>
        <v/>
      </c>
      <c r="G8121" s="92">
        <f>EXP($C$12+$C$8*_xlfn.NORM.S.INV(RAND()))</f>
        <v/>
      </c>
    </row>
    <row r="8122">
      <c r="F8122">
        <f>F8121+1</f>
        <v/>
      </c>
      <c r="G8122" s="92">
        <f>EXP($C$12+$C$8*_xlfn.NORM.S.INV(RAND()))</f>
        <v/>
      </c>
    </row>
    <row r="8123">
      <c r="F8123">
        <f>F8122+1</f>
        <v/>
      </c>
      <c r="G8123" s="92">
        <f>EXP($C$12+$C$8*_xlfn.NORM.S.INV(RAND()))</f>
        <v/>
      </c>
    </row>
    <row r="8124">
      <c r="F8124">
        <f>F8123+1</f>
        <v/>
      </c>
      <c r="G8124" s="92">
        <f>EXP($C$12+$C$8*_xlfn.NORM.S.INV(RAND()))</f>
        <v/>
      </c>
    </row>
    <row r="8125">
      <c r="F8125">
        <f>F8124+1</f>
        <v/>
      </c>
      <c r="G8125" s="92">
        <f>EXP($C$12+$C$8*_xlfn.NORM.S.INV(RAND()))</f>
        <v/>
      </c>
    </row>
    <row r="8126">
      <c r="F8126">
        <f>F8125+1</f>
        <v/>
      </c>
      <c r="G8126" s="92">
        <f>EXP($C$12+$C$8*_xlfn.NORM.S.INV(RAND()))</f>
        <v/>
      </c>
    </row>
    <row r="8127">
      <c r="F8127">
        <f>F8126+1</f>
        <v/>
      </c>
      <c r="G8127" s="92">
        <f>EXP($C$12+$C$8*_xlfn.NORM.S.INV(RAND()))</f>
        <v/>
      </c>
    </row>
    <row r="8128">
      <c r="F8128">
        <f>F8127+1</f>
        <v/>
      </c>
      <c r="G8128" s="92">
        <f>EXP($C$12+$C$8*_xlfn.NORM.S.INV(RAND()))</f>
        <v/>
      </c>
    </row>
    <row r="8129">
      <c r="F8129">
        <f>F8128+1</f>
        <v/>
      </c>
      <c r="G8129" s="92">
        <f>EXP($C$12+$C$8*_xlfn.NORM.S.INV(RAND()))</f>
        <v/>
      </c>
    </row>
    <row r="8130">
      <c r="F8130">
        <f>F8129+1</f>
        <v/>
      </c>
      <c r="G8130" s="92">
        <f>EXP($C$12+$C$8*_xlfn.NORM.S.INV(RAND()))</f>
        <v/>
      </c>
    </row>
    <row r="8131">
      <c r="F8131">
        <f>F8130+1</f>
        <v/>
      </c>
      <c r="G8131" s="92">
        <f>EXP($C$12+$C$8*_xlfn.NORM.S.INV(RAND()))</f>
        <v/>
      </c>
    </row>
    <row r="8132">
      <c r="F8132">
        <f>F8131+1</f>
        <v/>
      </c>
      <c r="G8132" s="92">
        <f>EXP($C$12+$C$8*_xlfn.NORM.S.INV(RAND()))</f>
        <v/>
      </c>
    </row>
    <row r="8133">
      <c r="F8133">
        <f>F8132+1</f>
        <v/>
      </c>
      <c r="G8133" s="92">
        <f>EXP($C$12+$C$8*_xlfn.NORM.S.INV(RAND()))</f>
        <v/>
      </c>
    </row>
    <row r="8134">
      <c r="F8134">
        <f>F8133+1</f>
        <v/>
      </c>
      <c r="G8134" s="92">
        <f>EXP($C$12+$C$8*_xlfn.NORM.S.INV(RAND()))</f>
        <v/>
      </c>
    </row>
    <row r="8135">
      <c r="F8135">
        <f>F8134+1</f>
        <v/>
      </c>
      <c r="G8135" s="92">
        <f>EXP($C$12+$C$8*_xlfn.NORM.S.INV(RAND()))</f>
        <v/>
      </c>
    </row>
    <row r="8136">
      <c r="F8136">
        <f>F8135+1</f>
        <v/>
      </c>
      <c r="G8136" s="92">
        <f>EXP($C$12+$C$8*_xlfn.NORM.S.INV(RAND()))</f>
        <v/>
      </c>
    </row>
    <row r="8137">
      <c r="F8137">
        <f>F8136+1</f>
        <v/>
      </c>
      <c r="G8137" s="92">
        <f>EXP($C$12+$C$8*_xlfn.NORM.S.INV(RAND()))</f>
        <v/>
      </c>
    </row>
    <row r="8138">
      <c r="F8138">
        <f>F8137+1</f>
        <v/>
      </c>
      <c r="G8138" s="92">
        <f>EXP($C$12+$C$8*_xlfn.NORM.S.INV(RAND()))</f>
        <v/>
      </c>
    </row>
    <row r="8139">
      <c r="F8139">
        <f>F8138+1</f>
        <v/>
      </c>
      <c r="G8139" s="92">
        <f>EXP($C$12+$C$8*_xlfn.NORM.S.INV(RAND()))</f>
        <v/>
      </c>
    </row>
    <row r="8140">
      <c r="F8140">
        <f>F8139+1</f>
        <v/>
      </c>
      <c r="G8140" s="92">
        <f>EXP($C$12+$C$8*_xlfn.NORM.S.INV(RAND()))</f>
        <v/>
      </c>
    </row>
    <row r="8141">
      <c r="F8141">
        <f>F8140+1</f>
        <v/>
      </c>
      <c r="G8141" s="92">
        <f>EXP($C$12+$C$8*_xlfn.NORM.S.INV(RAND()))</f>
        <v/>
      </c>
    </row>
    <row r="8142">
      <c r="F8142">
        <f>F8141+1</f>
        <v/>
      </c>
      <c r="G8142" s="92">
        <f>EXP($C$12+$C$8*_xlfn.NORM.S.INV(RAND()))</f>
        <v/>
      </c>
    </row>
    <row r="8143">
      <c r="F8143">
        <f>F8142+1</f>
        <v/>
      </c>
      <c r="G8143" s="92">
        <f>EXP($C$12+$C$8*_xlfn.NORM.S.INV(RAND()))</f>
        <v/>
      </c>
    </row>
    <row r="8144">
      <c r="F8144">
        <f>F8143+1</f>
        <v/>
      </c>
      <c r="G8144" s="92">
        <f>EXP($C$12+$C$8*_xlfn.NORM.S.INV(RAND()))</f>
        <v/>
      </c>
    </row>
    <row r="8145">
      <c r="F8145">
        <f>F8144+1</f>
        <v/>
      </c>
      <c r="G8145" s="92">
        <f>EXP($C$12+$C$8*_xlfn.NORM.S.INV(RAND()))</f>
        <v/>
      </c>
    </row>
    <row r="8146">
      <c r="F8146">
        <f>F8145+1</f>
        <v/>
      </c>
      <c r="G8146" s="92">
        <f>EXP($C$12+$C$8*_xlfn.NORM.S.INV(RAND()))</f>
        <v/>
      </c>
    </row>
    <row r="8147">
      <c r="F8147">
        <f>F8146+1</f>
        <v/>
      </c>
      <c r="G8147" s="92">
        <f>EXP($C$12+$C$8*_xlfn.NORM.S.INV(RAND()))</f>
        <v/>
      </c>
    </row>
    <row r="8148">
      <c r="F8148">
        <f>F8147+1</f>
        <v/>
      </c>
      <c r="G8148" s="92">
        <f>EXP($C$12+$C$8*_xlfn.NORM.S.INV(RAND()))</f>
        <v/>
      </c>
    </row>
    <row r="8149">
      <c r="F8149">
        <f>F8148+1</f>
        <v/>
      </c>
      <c r="G8149" s="92">
        <f>EXP($C$12+$C$8*_xlfn.NORM.S.INV(RAND()))</f>
        <v/>
      </c>
    </row>
    <row r="8150">
      <c r="F8150">
        <f>F8149+1</f>
        <v/>
      </c>
      <c r="G8150" s="92">
        <f>EXP($C$12+$C$8*_xlfn.NORM.S.INV(RAND()))</f>
        <v/>
      </c>
    </row>
    <row r="8151">
      <c r="F8151">
        <f>F8150+1</f>
        <v/>
      </c>
      <c r="G8151" s="92">
        <f>EXP($C$12+$C$8*_xlfn.NORM.S.INV(RAND()))</f>
        <v/>
      </c>
    </row>
    <row r="8152">
      <c r="F8152">
        <f>F8151+1</f>
        <v/>
      </c>
      <c r="G8152" s="92">
        <f>EXP($C$12+$C$8*_xlfn.NORM.S.INV(RAND()))</f>
        <v/>
      </c>
    </row>
    <row r="8153">
      <c r="F8153">
        <f>F8152+1</f>
        <v/>
      </c>
      <c r="G8153" s="92">
        <f>EXP($C$12+$C$8*_xlfn.NORM.S.INV(RAND()))</f>
        <v/>
      </c>
    </row>
    <row r="8154">
      <c r="F8154">
        <f>F8153+1</f>
        <v/>
      </c>
      <c r="G8154" s="92">
        <f>EXP($C$12+$C$8*_xlfn.NORM.S.INV(RAND()))</f>
        <v/>
      </c>
    </row>
    <row r="8155">
      <c r="F8155">
        <f>F8154+1</f>
        <v/>
      </c>
      <c r="G8155" s="92">
        <f>EXP($C$12+$C$8*_xlfn.NORM.S.INV(RAND()))</f>
        <v/>
      </c>
    </row>
    <row r="8156">
      <c r="F8156">
        <f>F8155+1</f>
        <v/>
      </c>
      <c r="G8156" s="92">
        <f>EXP($C$12+$C$8*_xlfn.NORM.S.INV(RAND()))</f>
        <v/>
      </c>
    </row>
    <row r="8157">
      <c r="F8157">
        <f>F8156+1</f>
        <v/>
      </c>
      <c r="G8157" s="92">
        <f>EXP($C$12+$C$8*_xlfn.NORM.S.INV(RAND()))</f>
        <v/>
      </c>
    </row>
    <row r="8158">
      <c r="F8158">
        <f>F8157+1</f>
        <v/>
      </c>
      <c r="G8158" s="92">
        <f>EXP($C$12+$C$8*_xlfn.NORM.S.INV(RAND()))</f>
        <v/>
      </c>
    </row>
    <row r="8159">
      <c r="F8159">
        <f>F8158+1</f>
        <v/>
      </c>
      <c r="G8159" s="92">
        <f>EXP($C$12+$C$8*_xlfn.NORM.S.INV(RAND()))</f>
        <v/>
      </c>
    </row>
    <row r="8160">
      <c r="F8160">
        <f>F8159+1</f>
        <v/>
      </c>
      <c r="G8160" s="92">
        <f>EXP($C$12+$C$8*_xlfn.NORM.S.INV(RAND()))</f>
        <v/>
      </c>
    </row>
    <row r="8161">
      <c r="F8161">
        <f>F8160+1</f>
        <v/>
      </c>
      <c r="G8161" s="92">
        <f>EXP($C$12+$C$8*_xlfn.NORM.S.INV(RAND()))</f>
        <v/>
      </c>
    </row>
    <row r="8162">
      <c r="F8162">
        <f>F8161+1</f>
        <v/>
      </c>
      <c r="G8162" s="92">
        <f>EXP($C$12+$C$8*_xlfn.NORM.S.INV(RAND()))</f>
        <v/>
      </c>
    </row>
    <row r="8163">
      <c r="F8163">
        <f>F8162+1</f>
        <v/>
      </c>
      <c r="G8163" s="92">
        <f>EXP($C$12+$C$8*_xlfn.NORM.S.INV(RAND()))</f>
        <v/>
      </c>
    </row>
    <row r="8164">
      <c r="F8164">
        <f>F8163+1</f>
        <v/>
      </c>
      <c r="G8164" s="92">
        <f>EXP($C$12+$C$8*_xlfn.NORM.S.INV(RAND()))</f>
        <v/>
      </c>
    </row>
    <row r="8165">
      <c r="F8165">
        <f>F8164+1</f>
        <v/>
      </c>
      <c r="G8165" s="92">
        <f>EXP($C$12+$C$8*_xlfn.NORM.S.INV(RAND()))</f>
        <v/>
      </c>
    </row>
    <row r="8166">
      <c r="F8166">
        <f>F8165+1</f>
        <v/>
      </c>
      <c r="G8166" s="92">
        <f>EXP($C$12+$C$8*_xlfn.NORM.S.INV(RAND()))</f>
        <v/>
      </c>
    </row>
    <row r="8167">
      <c r="F8167">
        <f>F8166+1</f>
        <v/>
      </c>
      <c r="G8167" s="92">
        <f>EXP($C$12+$C$8*_xlfn.NORM.S.INV(RAND()))</f>
        <v/>
      </c>
    </row>
    <row r="8168">
      <c r="F8168">
        <f>F8167+1</f>
        <v/>
      </c>
      <c r="G8168" s="92">
        <f>EXP($C$12+$C$8*_xlfn.NORM.S.INV(RAND()))</f>
        <v/>
      </c>
    </row>
    <row r="8169">
      <c r="F8169">
        <f>F8168+1</f>
        <v/>
      </c>
      <c r="G8169" s="92">
        <f>EXP($C$12+$C$8*_xlfn.NORM.S.INV(RAND()))</f>
        <v/>
      </c>
    </row>
    <row r="8170">
      <c r="F8170">
        <f>F8169+1</f>
        <v/>
      </c>
      <c r="G8170" s="92">
        <f>EXP($C$12+$C$8*_xlfn.NORM.S.INV(RAND()))</f>
        <v/>
      </c>
    </row>
    <row r="8171">
      <c r="F8171">
        <f>F8170+1</f>
        <v/>
      </c>
      <c r="G8171" s="92">
        <f>EXP($C$12+$C$8*_xlfn.NORM.S.INV(RAND()))</f>
        <v/>
      </c>
    </row>
    <row r="8172">
      <c r="F8172">
        <f>F8171+1</f>
        <v/>
      </c>
      <c r="G8172" s="92">
        <f>EXP($C$12+$C$8*_xlfn.NORM.S.INV(RAND()))</f>
        <v/>
      </c>
    </row>
    <row r="8173">
      <c r="F8173">
        <f>F8172+1</f>
        <v/>
      </c>
      <c r="G8173" s="92">
        <f>EXP($C$12+$C$8*_xlfn.NORM.S.INV(RAND()))</f>
        <v/>
      </c>
    </row>
    <row r="8174">
      <c r="F8174">
        <f>F8173+1</f>
        <v/>
      </c>
      <c r="G8174" s="92">
        <f>EXP($C$12+$C$8*_xlfn.NORM.S.INV(RAND()))</f>
        <v/>
      </c>
    </row>
    <row r="8175">
      <c r="F8175">
        <f>F8174+1</f>
        <v/>
      </c>
      <c r="G8175" s="92">
        <f>EXP($C$12+$C$8*_xlfn.NORM.S.INV(RAND()))</f>
        <v/>
      </c>
    </row>
    <row r="8176">
      <c r="F8176">
        <f>F8175+1</f>
        <v/>
      </c>
      <c r="G8176" s="92">
        <f>EXP($C$12+$C$8*_xlfn.NORM.S.INV(RAND()))</f>
        <v/>
      </c>
    </row>
    <row r="8177">
      <c r="F8177">
        <f>F8176+1</f>
        <v/>
      </c>
      <c r="G8177" s="92">
        <f>EXP($C$12+$C$8*_xlfn.NORM.S.INV(RAND()))</f>
        <v/>
      </c>
    </row>
    <row r="8178">
      <c r="F8178">
        <f>F8177+1</f>
        <v/>
      </c>
      <c r="G8178" s="92">
        <f>EXP($C$12+$C$8*_xlfn.NORM.S.INV(RAND()))</f>
        <v/>
      </c>
    </row>
    <row r="8179">
      <c r="F8179">
        <f>F8178+1</f>
        <v/>
      </c>
      <c r="G8179" s="92">
        <f>EXP($C$12+$C$8*_xlfn.NORM.S.INV(RAND()))</f>
        <v/>
      </c>
    </row>
    <row r="8180">
      <c r="F8180">
        <f>F8179+1</f>
        <v/>
      </c>
      <c r="G8180" s="92">
        <f>EXP($C$12+$C$8*_xlfn.NORM.S.INV(RAND()))</f>
        <v/>
      </c>
    </row>
    <row r="8181">
      <c r="F8181">
        <f>F8180+1</f>
        <v/>
      </c>
      <c r="G8181" s="92">
        <f>EXP($C$12+$C$8*_xlfn.NORM.S.INV(RAND()))</f>
        <v/>
      </c>
    </row>
    <row r="8182">
      <c r="F8182">
        <f>F8181+1</f>
        <v/>
      </c>
      <c r="G8182" s="92">
        <f>EXP($C$12+$C$8*_xlfn.NORM.S.INV(RAND()))</f>
        <v/>
      </c>
    </row>
    <row r="8183">
      <c r="F8183">
        <f>F8182+1</f>
        <v/>
      </c>
      <c r="G8183" s="92">
        <f>EXP($C$12+$C$8*_xlfn.NORM.S.INV(RAND()))</f>
        <v/>
      </c>
    </row>
    <row r="8184">
      <c r="F8184">
        <f>F8183+1</f>
        <v/>
      </c>
      <c r="G8184" s="92">
        <f>EXP($C$12+$C$8*_xlfn.NORM.S.INV(RAND()))</f>
        <v/>
      </c>
    </row>
    <row r="8185">
      <c r="F8185">
        <f>F8184+1</f>
        <v/>
      </c>
      <c r="G8185" s="92">
        <f>EXP($C$12+$C$8*_xlfn.NORM.S.INV(RAND()))</f>
        <v/>
      </c>
    </row>
    <row r="8186">
      <c r="F8186">
        <f>F8185+1</f>
        <v/>
      </c>
      <c r="G8186" s="92">
        <f>EXP($C$12+$C$8*_xlfn.NORM.S.INV(RAND()))</f>
        <v/>
      </c>
    </row>
    <row r="8187">
      <c r="F8187">
        <f>F8186+1</f>
        <v/>
      </c>
      <c r="G8187" s="92">
        <f>EXP($C$12+$C$8*_xlfn.NORM.S.INV(RAND()))</f>
        <v/>
      </c>
    </row>
    <row r="8188">
      <c r="F8188">
        <f>F8187+1</f>
        <v/>
      </c>
      <c r="G8188" s="92">
        <f>EXP($C$12+$C$8*_xlfn.NORM.S.INV(RAND()))</f>
        <v/>
      </c>
    </row>
    <row r="8189">
      <c r="F8189">
        <f>F8188+1</f>
        <v/>
      </c>
      <c r="G8189" s="92">
        <f>EXP($C$12+$C$8*_xlfn.NORM.S.INV(RAND()))</f>
        <v/>
      </c>
    </row>
    <row r="8190">
      <c r="F8190">
        <f>F8189+1</f>
        <v/>
      </c>
      <c r="G8190" s="92">
        <f>EXP($C$12+$C$8*_xlfn.NORM.S.INV(RAND()))</f>
        <v/>
      </c>
    </row>
    <row r="8191">
      <c r="F8191">
        <f>F8190+1</f>
        <v/>
      </c>
      <c r="G8191" s="92">
        <f>EXP($C$12+$C$8*_xlfn.NORM.S.INV(RAND()))</f>
        <v/>
      </c>
    </row>
    <row r="8192">
      <c r="F8192">
        <f>F8191+1</f>
        <v/>
      </c>
      <c r="G8192" s="92">
        <f>EXP($C$12+$C$8*_xlfn.NORM.S.INV(RAND()))</f>
        <v/>
      </c>
    </row>
    <row r="8193">
      <c r="F8193">
        <f>F8192+1</f>
        <v/>
      </c>
      <c r="G8193" s="92">
        <f>EXP($C$12+$C$8*_xlfn.NORM.S.INV(RAND()))</f>
        <v/>
      </c>
    </row>
    <row r="8194">
      <c r="F8194">
        <f>F8193+1</f>
        <v/>
      </c>
      <c r="G8194" s="92">
        <f>EXP($C$12+$C$8*_xlfn.NORM.S.INV(RAND()))</f>
        <v/>
      </c>
    </row>
    <row r="8195">
      <c r="F8195">
        <f>F8194+1</f>
        <v/>
      </c>
      <c r="G8195" s="92">
        <f>EXP($C$12+$C$8*_xlfn.NORM.S.INV(RAND()))</f>
        <v/>
      </c>
    </row>
    <row r="8196">
      <c r="F8196">
        <f>F8195+1</f>
        <v/>
      </c>
      <c r="G8196" s="92">
        <f>EXP($C$12+$C$8*_xlfn.NORM.S.INV(RAND()))</f>
        <v/>
      </c>
    </row>
    <row r="8197">
      <c r="F8197">
        <f>F8196+1</f>
        <v/>
      </c>
      <c r="G8197" s="92">
        <f>EXP($C$12+$C$8*_xlfn.NORM.S.INV(RAND()))</f>
        <v/>
      </c>
    </row>
    <row r="8198">
      <c r="F8198">
        <f>F8197+1</f>
        <v/>
      </c>
      <c r="G8198" s="92">
        <f>EXP($C$12+$C$8*_xlfn.NORM.S.INV(RAND()))</f>
        <v/>
      </c>
    </row>
    <row r="8199">
      <c r="F8199">
        <f>F8198+1</f>
        <v/>
      </c>
      <c r="G8199" s="92">
        <f>EXP($C$12+$C$8*_xlfn.NORM.S.INV(RAND()))</f>
        <v/>
      </c>
    </row>
    <row r="8200">
      <c r="F8200">
        <f>F8199+1</f>
        <v/>
      </c>
      <c r="G8200" s="92">
        <f>EXP($C$12+$C$8*_xlfn.NORM.S.INV(RAND()))</f>
        <v/>
      </c>
    </row>
    <row r="8201">
      <c r="F8201">
        <f>F8200+1</f>
        <v/>
      </c>
      <c r="G8201" s="92">
        <f>EXP($C$12+$C$8*_xlfn.NORM.S.INV(RAND()))</f>
        <v/>
      </c>
    </row>
    <row r="8202">
      <c r="F8202">
        <f>F8201+1</f>
        <v/>
      </c>
      <c r="G8202" s="92">
        <f>EXP($C$12+$C$8*_xlfn.NORM.S.INV(RAND()))</f>
        <v/>
      </c>
    </row>
    <row r="8203">
      <c r="F8203">
        <f>F8202+1</f>
        <v/>
      </c>
      <c r="G8203" s="92">
        <f>EXP($C$12+$C$8*_xlfn.NORM.S.INV(RAND()))</f>
        <v/>
      </c>
    </row>
    <row r="8204">
      <c r="F8204">
        <f>F8203+1</f>
        <v/>
      </c>
      <c r="G8204" s="92">
        <f>EXP($C$12+$C$8*_xlfn.NORM.S.INV(RAND()))</f>
        <v/>
      </c>
    </row>
    <row r="8205">
      <c r="F8205">
        <f>F8204+1</f>
        <v/>
      </c>
      <c r="G8205" s="92">
        <f>EXP($C$12+$C$8*_xlfn.NORM.S.INV(RAND()))</f>
        <v/>
      </c>
    </row>
    <row r="8206">
      <c r="F8206">
        <f>F8205+1</f>
        <v/>
      </c>
      <c r="G8206" s="92">
        <f>EXP($C$12+$C$8*_xlfn.NORM.S.INV(RAND()))</f>
        <v/>
      </c>
    </row>
    <row r="8207">
      <c r="F8207">
        <f>F8206+1</f>
        <v/>
      </c>
      <c r="G8207" s="92">
        <f>EXP($C$12+$C$8*_xlfn.NORM.S.INV(RAND()))</f>
        <v/>
      </c>
    </row>
    <row r="8208">
      <c r="F8208">
        <f>F8207+1</f>
        <v/>
      </c>
      <c r="G8208" s="92">
        <f>EXP($C$12+$C$8*_xlfn.NORM.S.INV(RAND()))</f>
        <v/>
      </c>
    </row>
    <row r="8209">
      <c r="F8209">
        <f>F8208+1</f>
        <v/>
      </c>
      <c r="G8209" s="92">
        <f>EXP($C$12+$C$8*_xlfn.NORM.S.INV(RAND()))</f>
        <v/>
      </c>
    </row>
    <row r="8210">
      <c r="F8210">
        <f>F8209+1</f>
        <v/>
      </c>
      <c r="G8210" s="92">
        <f>EXP($C$12+$C$8*_xlfn.NORM.S.INV(RAND()))</f>
        <v/>
      </c>
    </row>
    <row r="8211">
      <c r="F8211">
        <f>F8210+1</f>
        <v/>
      </c>
      <c r="G8211" s="92">
        <f>EXP($C$12+$C$8*_xlfn.NORM.S.INV(RAND()))</f>
        <v/>
      </c>
    </row>
    <row r="8212">
      <c r="F8212">
        <f>F8211+1</f>
        <v/>
      </c>
      <c r="G8212" s="92">
        <f>EXP($C$12+$C$8*_xlfn.NORM.S.INV(RAND()))</f>
        <v/>
      </c>
    </row>
    <row r="8213">
      <c r="F8213">
        <f>F8212+1</f>
        <v/>
      </c>
      <c r="G8213" s="92">
        <f>EXP($C$12+$C$8*_xlfn.NORM.S.INV(RAND()))</f>
        <v/>
      </c>
    </row>
    <row r="8214">
      <c r="F8214">
        <f>F8213+1</f>
        <v/>
      </c>
      <c r="G8214" s="92">
        <f>EXP($C$12+$C$8*_xlfn.NORM.S.INV(RAND()))</f>
        <v/>
      </c>
    </row>
    <row r="8215">
      <c r="F8215">
        <f>F8214+1</f>
        <v/>
      </c>
      <c r="G8215" s="92">
        <f>EXP($C$12+$C$8*_xlfn.NORM.S.INV(RAND()))</f>
        <v/>
      </c>
    </row>
    <row r="8216">
      <c r="F8216">
        <f>F8215+1</f>
        <v/>
      </c>
      <c r="G8216" s="92">
        <f>EXP($C$12+$C$8*_xlfn.NORM.S.INV(RAND()))</f>
        <v/>
      </c>
    </row>
    <row r="8217">
      <c r="F8217">
        <f>F8216+1</f>
        <v/>
      </c>
      <c r="G8217" s="92">
        <f>EXP($C$12+$C$8*_xlfn.NORM.S.INV(RAND()))</f>
        <v/>
      </c>
    </row>
    <row r="8218">
      <c r="F8218">
        <f>F8217+1</f>
        <v/>
      </c>
      <c r="G8218" s="92">
        <f>EXP($C$12+$C$8*_xlfn.NORM.S.INV(RAND()))</f>
        <v/>
      </c>
    </row>
    <row r="8219">
      <c r="F8219">
        <f>F8218+1</f>
        <v/>
      </c>
      <c r="G8219" s="92">
        <f>EXP($C$12+$C$8*_xlfn.NORM.S.INV(RAND()))</f>
        <v/>
      </c>
    </row>
    <row r="8220">
      <c r="F8220">
        <f>F8219+1</f>
        <v/>
      </c>
      <c r="G8220" s="92">
        <f>EXP($C$12+$C$8*_xlfn.NORM.S.INV(RAND()))</f>
        <v/>
      </c>
    </row>
    <row r="8221">
      <c r="F8221">
        <f>F8220+1</f>
        <v/>
      </c>
      <c r="G8221" s="92">
        <f>EXP($C$12+$C$8*_xlfn.NORM.S.INV(RAND()))</f>
        <v/>
      </c>
    </row>
    <row r="8222">
      <c r="F8222">
        <f>F8221+1</f>
        <v/>
      </c>
      <c r="G8222" s="92">
        <f>EXP($C$12+$C$8*_xlfn.NORM.S.INV(RAND()))</f>
        <v/>
      </c>
    </row>
    <row r="8223">
      <c r="F8223">
        <f>F8222+1</f>
        <v/>
      </c>
      <c r="G8223" s="92">
        <f>EXP($C$12+$C$8*_xlfn.NORM.S.INV(RAND()))</f>
        <v/>
      </c>
    </row>
    <row r="8224">
      <c r="F8224">
        <f>F8223+1</f>
        <v/>
      </c>
      <c r="G8224" s="92">
        <f>EXP($C$12+$C$8*_xlfn.NORM.S.INV(RAND()))</f>
        <v/>
      </c>
    </row>
    <row r="8225">
      <c r="F8225">
        <f>F8224+1</f>
        <v/>
      </c>
      <c r="G8225" s="92">
        <f>EXP($C$12+$C$8*_xlfn.NORM.S.INV(RAND()))</f>
        <v/>
      </c>
    </row>
    <row r="8226">
      <c r="F8226">
        <f>F8225+1</f>
        <v/>
      </c>
      <c r="G8226" s="92">
        <f>EXP($C$12+$C$8*_xlfn.NORM.S.INV(RAND()))</f>
        <v/>
      </c>
    </row>
    <row r="8227">
      <c r="F8227">
        <f>F8226+1</f>
        <v/>
      </c>
      <c r="G8227" s="92">
        <f>EXP($C$12+$C$8*_xlfn.NORM.S.INV(RAND()))</f>
        <v/>
      </c>
    </row>
    <row r="8228">
      <c r="F8228">
        <f>F8227+1</f>
        <v/>
      </c>
      <c r="G8228" s="92">
        <f>EXP($C$12+$C$8*_xlfn.NORM.S.INV(RAND()))</f>
        <v/>
      </c>
    </row>
    <row r="8229">
      <c r="F8229">
        <f>F8228+1</f>
        <v/>
      </c>
      <c r="G8229" s="92">
        <f>EXP($C$12+$C$8*_xlfn.NORM.S.INV(RAND()))</f>
        <v/>
      </c>
    </row>
    <row r="8230">
      <c r="F8230">
        <f>F8229+1</f>
        <v/>
      </c>
      <c r="G8230" s="92">
        <f>EXP($C$12+$C$8*_xlfn.NORM.S.INV(RAND()))</f>
        <v/>
      </c>
    </row>
    <row r="8231">
      <c r="F8231">
        <f>F8230+1</f>
        <v/>
      </c>
      <c r="G8231" s="92">
        <f>EXP($C$12+$C$8*_xlfn.NORM.S.INV(RAND()))</f>
        <v/>
      </c>
    </row>
    <row r="8232">
      <c r="F8232">
        <f>F8231+1</f>
        <v/>
      </c>
      <c r="G8232" s="92">
        <f>EXP($C$12+$C$8*_xlfn.NORM.S.INV(RAND()))</f>
        <v/>
      </c>
    </row>
    <row r="8233">
      <c r="F8233">
        <f>F8232+1</f>
        <v/>
      </c>
      <c r="G8233" s="92">
        <f>EXP($C$12+$C$8*_xlfn.NORM.S.INV(RAND()))</f>
        <v/>
      </c>
    </row>
    <row r="8234">
      <c r="F8234">
        <f>F8233+1</f>
        <v/>
      </c>
      <c r="G8234" s="92">
        <f>EXP($C$12+$C$8*_xlfn.NORM.S.INV(RAND()))</f>
        <v/>
      </c>
    </row>
    <row r="8235">
      <c r="F8235">
        <f>F8234+1</f>
        <v/>
      </c>
      <c r="G8235" s="92">
        <f>EXP($C$12+$C$8*_xlfn.NORM.S.INV(RAND()))</f>
        <v/>
      </c>
    </row>
    <row r="8236">
      <c r="F8236">
        <f>F8235+1</f>
        <v/>
      </c>
      <c r="G8236" s="92">
        <f>EXP($C$12+$C$8*_xlfn.NORM.S.INV(RAND()))</f>
        <v/>
      </c>
    </row>
    <row r="8237">
      <c r="F8237">
        <f>F8236+1</f>
        <v/>
      </c>
      <c r="G8237" s="92">
        <f>EXP($C$12+$C$8*_xlfn.NORM.S.INV(RAND()))</f>
        <v/>
      </c>
    </row>
    <row r="8238">
      <c r="F8238">
        <f>F8237+1</f>
        <v/>
      </c>
      <c r="G8238" s="92">
        <f>EXP($C$12+$C$8*_xlfn.NORM.S.INV(RAND()))</f>
        <v/>
      </c>
    </row>
    <row r="8239">
      <c r="F8239">
        <f>F8238+1</f>
        <v/>
      </c>
      <c r="G8239" s="92">
        <f>EXP($C$12+$C$8*_xlfn.NORM.S.INV(RAND()))</f>
        <v/>
      </c>
    </row>
    <row r="8240">
      <c r="F8240">
        <f>F8239+1</f>
        <v/>
      </c>
      <c r="G8240" s="92">
        <f>EXP($C$12+$C$8*_xlfn.NORM.S.INV(RAND()))</f>
        <v/>
      </c>
    </row>
    <row r="8241">
      <c r="F8241">
        <f>F8240+1</f>
        <v/>
      </c>
      <c r="G8241" s="92">
        <f>EXP($C$12+$C$8*_xlfn.NORM.S.INV(RAND()))</f>
        <v/>
      </c>
    </row>
    <row r="8242">
      <c r="F8242">
        <f>F8241+1</f>
        <v/>
      </c>
      <c r="G8242" s="92">
        <f>EXP($C$12+$C$8*_xlfn.NORM.S.INV(RAND()))</f>
        <v/>
      </c>
    </row>
    <row r="8243">
      <c r="F8243">
        <f>F8242+1</f>
        <v/>
      </c>
      <c r="G8243" s="92">
        <f>EXP($C$12+$C$8*_xlfn.NORM.S.INV(RAND()))</f>
        <v/>
      </c>
    </row>
    <row r="8244">
      <c r="F8244">
        <f>F8243+1</f>
        <v/>
      </c>
      <c r="G8244" s="92">
        <f>EXP($C$12+$C$8*_xlfn.NORM.S.INV(RAND()))</f>
        <v/>
      </c>
    </row>
    <row r="8245">
      <c r="F8245">
        <f>F8244+1</f>
        <v/>
      </c>
      <c r="G8245" s="92">
        <f>EXP($C$12+$C$8*_xlfn.NORM.S.INV(RAND()))</f>
        <v/>
      </c>
    </row>
    <row r="8246">
      <c r="F8246">
        <f>F8245+1</f>
        <v/>
      </c>
      <c r="G8246" s="92">
        <f>EXP($C$12+$C$8*_xlfn.NORM.S.INV(RAND()))</f>
        <v/>
      </c>
    </row>
    <row r="8247">
      <c r="F8247">
        <f>F8246+1</f>
        <v/>
      </c>
      <c r="G8247" s="92">
        <f>EXP($C$12+$C$8*_xlfn.NORM.S.INV(RAND()))</f>
        <v/>
      </c>
    </row>
    <row r="8248">
      <c r="F8248">
        <f>F8247+1</f>
        <v/>
      </c>
      <c r="G8248" s="92">
        <f>EXP($C$12+$C$8*_xlfn.NORM.S.INV(RAND()))</f>
        <v/>
      </c>
    </row>
    <row r="8249">
      <c r="F8249">
        <f>F8248+1</f>
        <v/>
      </c>
      <c r="G8249" s="92">
        <f>EXP($C$12+$C$8*_xlfn.NORM.S.INV(RAND()))</f>
        <v/>
      </c>
    </row>
    <row r="8250">
      <c r="F8250">
        <f>F8249+1</f>
        <v/>
      </c>
      <c r="G8250" s="92">
        <f>EXP($C$12+$C$8*_xlfn.NORM.S.INV(RAND()))</f>
        <v/>
      </c>
    </row>
    <row r="8251">
      <c r="F8251">
        <f>F8250+1</f>
        <v/>
      </c>
      <c r="G8251" s="92">
        <f>EXP($C$12+$C$8*_xlfn.NORM.S.INV(RAND()))</f>
        <v/>
      </c>
    </row>
    <row r="8252">
      <c r="F8252">
        <f>F8251+1</f>
        <v/>
      </c>
      <c r="G8252" s="92">
        <f>EXP($C$12+$C$8*_xlfn.NORM.S.INV(RAND()))</f>
        <v/>
      </c>
    </row>
    <row r="8253">
      <c r="F8253">
        <f>F8252+1</f>
        <v/>
      </c>
      <c r="G8253" s="92">
        <f>EXP($C$12+$C$8*_xlfn.NORM.S.INV(RAND()))</f>
        <v/>
      </c>
    </row>
    <row r="8254">
      <c r="F8254">
        <f>F8253+1</f>
        <v/>
      </c>
      <c r="G8254" s="92">
        <f>EXP($C$12+$C$8*_xlfn.NORM.S.INV(RAND()))</f>
        <v/>
      </c>
    </row>
    <row r="8255">
      <c r="F8255">
        <f>F8254+1</f>
        <v/>
      </c>
      <c r="G8255" s="92">
        <f>EXP($C$12+$C$8*_xlfn.NORM.S.INV(RAND()))</f>
        <v/>
      </c>
    </row>
    <row r="8256">
      <c r="F8256">
        <f>F8255+1</f>
        <v/>
      </c>
      <c r="G8256" s="92">
        <f>EXP($C$12+$C$8*_xlfn.NORM.S.INV(RAND()))</f>
        <v/>
      </c>
    </row>
    <row r="8257">
      <c r="F8257">
        <f>F8256+1</f>
        <v/>
      </c>
      <c r="G8257" s="92">
        <f>EXP($C$12+$C$8*_xlfn.NORM.S.INV(RAND()))</f>
        <v/>
      </c>
    </row>
    <row r="8258">
      <c r="F8258">
        <f>F8257+1</f>
        <v/>
      </c>
      <c r="G8258" s="92">
        <f>EXP($C$12+$C$8*_xlfn.NORM.S.INV(RAND()))</f>
        <v/>
      </c>
    </row>
    <row r="8259">
      <c r="F8259">
        <f>F8258+1</f>
        <v/>
      </c>
      <c r="G8259" s="92">
        <f>EXP($C$12+$C$8*_xlfn.NORM.S.INV(RAND()))</f>
        <v/>
      </c>
    </row>
    <row r="8260">
      <c r="F8260">
        <f>F8259+1</f>
        <v/>
      </c>
      <c r="G8260" s="92">
        <f>EXP($C$12+$C$8*_xlfn.NORM.S.INV(RAND()))</f>
        <v/>
      </c>
    </row>
    <row r="8261">
      <c r="F8261">
        <f>F8260+1</f>
        <v/>
      </c>
      <c r="G8261" s="92">
        <f>EXP($C$12+$C$8*_xlfn.NORM.S.INV(RAND()))</f>
        <v/>
      </c>
    </row>
    <row r="8262">
      <c r="F8262">
        <f>F8261+1</f>
        <v/>
      </c>
      <c r="G8262" s="92">
        <f>EXP($C$12+$C$8*_xlfn.NORM.S.INV(RAND()))</f>
        <v/>
      </c>
    </row>
    <row r="8263">
      <c r="F8263">
        <f>F8262+1</f>
        <v/>
      </c>
      <c r="G8263" s="92">
        <f>EXP($C$12+$C$8*_xlfn.NORM.S.INV(RAND()))</f>
        <v/>
      </c>
    </row>
    <row r="8264">
      <c r="F8264">
        <f>F8263+1</f>
        <v/>
      </c>
      <c r="G8264" s="92">
        <f>EXP($C$12+$C$8*_xlfn.NORM.S.INV(RAND()))</f>
        <v/>
      </c>
    </row>
    <row r="8265">
      <c r="F8265">
        <f>F8264+1</f>
        <v/>
      </c>
      <c r="G8265" s="92">
        <f>EXP($C$12+$C$8*_xlfn.NORM.S.INV(RAND()))</f>
        <v/>
      </c>
    </row>
    <row r="8266">
      <c r="F8266">
        <f>F8265+1</f>
        <v/>
      </c>
      <c r="G8266" s="92">
        <f>EXP($C$12+$C$8*_xlfn.NORM.S.INV(RAND()))</f>
        <v/>
      </c>
    </row>
    <row r="8267">
      <c r="F8267">
        <f>F8266+1</f>
        <v/>
      </c>
      <c r="G8267" s="92">
        <f>EXP($C$12+$C$8*_xlfn.NORM.S.INV(RAND()))</f>
        <v/>
      </c>
    </row>
    <row r="8268">
      <c r="F8268">
        <f>F8267+1</f>
        <v/>
      </c>
      <c r="G8268" s="92">
        <f>EXP($C$12+$C$8*_xlfn.NORM.S.INV(RAND()))</f>
        <v/>
      </c>
    </row>
    <row r="8269">
      <c r="F8269">
        <f>F8268+1</f>
        <v/>
      </c>
      <c r="G8269" s="92">
        <f>EXP($C$12+$C$8*_xlfn.NORM.S.INV(RAND()))</f>
        <v/>
      </c>
    </row>
    <row r="8270">
      <c r="F8270">
        <f>F8269+1</f>
        <v/>
      </c>
      <c r="G8270" s="92">
        <f>EXP($C$12+$C$8*_xlfn.NORM.S.INV(RAND()))</f>
        <v/>
      </c>
    </row>
    <row r="8271">
      <c r="F8271">
        <f>F8270+1</f>
        <v/>
      </c>
      <c r="G8271" s="92">
        <f>EXP($C$12+$C$8*_xlfn.NORM.S.INV(RAND()))</f>
        <v/>
      </c>
    </row>
    <row r="8272">
      <c r="F8272">
        <f>F8271+1</f>
        <v/>
      </c>
      <c r="G8272" s="92">
        <f>EXP($C$12+$C$8*_xlfn.NORM.S.INV(RAND()))</f>
        <v/>
      </c>
    </row>
    <row r="8273">
      <c r="F8273">
        <f>F8272+1</f>
        <v/>
      </c>
      <c r="G8273" s="92">
        <f>EXP($C$12+$C$8*_xlfn.NORM.S.INV(RAND()))</f>
        <v/>
      </c>
    </row>
    <row r="8274">
      <c r="F8274">
        <f>F8273+1</f>
        <v/>
      </c>
      <c r="G8274" s="92">
        <f>EXP($C$12+$C$8*_xlfn.NORM.S.INV(RAND()))</f>
        <v/>
      </c>
    </row>
    <row r="8275">
      <c r="F8275">
        <f>F8274+1</f>
        <v/>
      </c>
      <c r="G8275" s="92">
        <f>EXP($C$12+$C$8*_xlfn.NORM.S.INV(RAND()))</f>
        <v/>
      </c>
    </row>
    <row r="8276">
      <c r="F8276">
        <f>F8275+1</f>
        <v/>
      </c>
      <c r="G8276" s="92">
        <f>EXP($C$12+$C$8*_xlfn.NORM.S.INV(RAND()))</f>
        <v/>
      </c>
    </row>
    <row r="8277">
      <c r="F8277">
        <f>F8276+1</f>
        <v/>
      </c>
      <c r="G8277" s="92">
        <f>EXP($C$12+$C$8*_xlfn.NORM.S.INV(RAND()))</f>
        <v/>
      </c>
    </row>
    <row r="8278">
      <c r="F8278">
        <f>F8277+1</f>
        <v/>
      </c>
      <c r="G8278" s="92">
        <f>EXP($C$12+$C$8*_xlfn.NORM.S.INV(RAND()))</f>
        <v/>
      </c>
    </row>
    <row r="8279">
      <c r="F8279">
        <f>F8278+1</f>
        <v/>
      </c>
      <c r="G8279" s="92">
        <f>EXP($C$12+$C$8*_xlfn.NORM.S.INV(RAND()))</f>
        <v/>
      </c>
    </row>
    <row r="8280">
      <c r="F8280">
        <f>F8279+1</f>
        <v/>
      </c>
      <c r="G8280" s="92">
        <f>EXP($C$12+$C$8*_xlfn.NORM.S.INV(RAND()))</f>
        <v/>
      </c>
    </row>
    <row r="8281">
      <c r="F8281">
        <f>F8280+1</f>
        <v/>
      </c>
      <c r="G8281" s="92">
        <f>EXP($C$12+$C$8*_xlfn.NORM.S.INV(RAND()))</f>
        <v/>
      </c>
    </row>
    <row r="8282">
      <c r="F8282">
        <f>F8281+1</f>
        <v/>
      </c>
      <c r="G8282" s="92">
        <f>EXP($C$12+$C$8*_xlfn.NORM.S.INV(RAND()))</f>
        <v/>
      </c>
    </row>
    <row r="8283">
      <c r="F8283">
        <f>F8282+1</f>
        <v/>
      </c>
      <c r="G8283" s="92">
        <f>EXP($C$12+$C$8*_xlfn.NORM.S.INV(RAND()))</f>
        <v/>
      </c>
    </row>
    <row r="8284">
      <c r="F8284">
        <f>F8283+1</f>
        <v/>
      </c>
      <c r="G8284" s="92">
        <f>EXP($C$12+$C$8*_xlfn.NORM.S.INV(RAND()))</f>
        <v/>
      </c>
    </row>
    <row r="8285">
      <c r="F8285">
        <f>F8284+1</f>
        <v/>
      </c>
      <c r="G8285" s="92">
        <f>EXP($C$12+$C$8*_xlfn.NORM.S.INV(RAND()))</f>
        <v/>
      </c>
    </row>
    <row r="8286">
      <c r="F8286">
        <f>F8285+1</f>
        <v/>
      </c>
      <c r="G8286" s="92">
        <f>EXP($C$12+$C$8*_xlfn.NORM.S.INV(RAND()))</f>
        <v/>
      </c>
    </row>
    <row r="8287">
      <c r="F8287">
        <f>F8286+1</f>
        <v/>
      </c>
      <c r="G8287" s="92">
        <f>EXP($C$12+$C$8*_xlfn.NORM.S.INV(RAND()))</f>
        <v/>
      </c>
    </row>
    <row r="8288">
      <c r="F8288">
        <f>F8287+1</f>
        <v/>
      </c>
      <c r="G8288" s="92">
        <f>EXP($C$12+$C$8*_xlfn.NORM.S.INV(RAND()))</f>
        <v/>
      </c>
    </row>
    <row r="8289">
      <c r="F8289">
        <f>F8288+1</f>
        <v/>
      </c>
      <c r="G8289" s="92">
        <f>EXP($C$12+$C$8*_xlfn.NORM.S.INV(RAND()))</f>
        <v/>
      </c>
    </row>
    <row r="8290">
      <c r="F8290">
        <f>F8289+1</f>
        <v/>
      </c>
      <c r="G8290" s="92">
        <f>EXP($C$12+$C$8*_xlfn.NORM.S.INV(RAND()))</f>
        <v/>
      </c>
    </row>
    <row r="8291">
      <c r="F8291">
        <f>F8290+1</f>
        <v/>
      </c>
      <c r="G8291" s="92">
        <f>EXP($C$12+$C$8*_xlfn.NORM.S.INV(RAND()))</f>
        <v/>
      </c>
    </row>
    <row r="8292">
      <c r="F8292">
        <f>F8291+1</f>
        <v/>
      </c>
      <c r="G8292" s="92">
        <f>EXP($C$12+$C$8*_xlfn.NORM.S.INV(RAND()))</f>
        <v/>
      </c>
    </row>
    <row r="8293">
      <c r="F8293">
        <f>F8292+1</f>
        <v/>
      </c>
      <c r="G8293" s="92">
        <f>EXP($C$12+$C$8*_xlfn.NORM.S.INV(RAND()))</f>
        <v/>
      </c>
    </row>
    <row r="8294">
      <c r="F8294">
        <f>F8293+1</f>
        <v/>
      </c>
      <c r="G8294" s="92">
        <f>EXP($C$12+$C$8*_xlfn.NORM.S.INV(RAND()))</f>
        <v/>
      </c>
    </row>
    <row r="8295">
      <c r="F8295">
        <f>F8294+1</f>
        <v/>
      </c>
      <c r="G8295" s="92">
        <f>EXP($C$12+$C$8*_xlfn.NORM.S.INV(RAND()))</f>
        <v/>
      </c>
    </row>
    <row r="8296">
      <c r="F8296">
        <f>F8295+1</f>
        <v/>
      </c>
      <c r="G8296" s="92">
        <f>EXP($C$12+$C$8*_xlfn.NORM.S.INV(RAND()))</f>
        <v/>
      </c>
    </row>
    <row r="8297">
      <c r="F8297">
        <f>F8296+1</f>
        <v/>
      </c>
      <c r="G8297" s="92">
        <f>EXP($C$12+$C$8*_xlfn.NORM.S.INV(RAND()))</f>
        <v/>
      </c>
    </row>
    <row r="8298">
      <c r="F8298">
        <f>F8297+1</f>
        <v/>
      </c>
      <c r="G8298" s="92">
        <f>EXP($C$12+$C$8*_xlfn.NORM.S.INV(RAND()))</f>
        <v/>
      </c>
    </row>
    <row r="8299">
      <c r="F8299">
        <f>F8298+1</f>
        <v/>
      </c>
      <c r="G8299" s="92">
        <f>EXP($C$12+$C$8*_xlfn.NORM.S.INV(RAND()))</f>
        <v/>
      </c>
    </row>
    <row r="8300">
      <c r="F8300">
        <f>F8299+1</f>
        <v/>
      </c>
      <c r="G8300" s="92">
        <f>EXP($C$12+$C$8*_xlfn.NORM.S.INV(RAND()))</f>
        <v/>
      </c>
    </row>
    <row r="8301">
      <c r="F8301">
        <f>F8300+1</f>
        <v/>
      </c>
      <c r="G8301" s="92">
        <f>EXP($C$12+$C$8*_xlfn.NORM.S.INV(RAND()))</f>
        <v/>
      </c>
    </row>
    <row r="8302">
      <c r="F8302">
        <f>F8301+1</f>
        <v/>
      </c>
      <c r="G8302" s="92">
        <f>EXP($C$12+$C$8*_xlfn.NORM.S.INV(RAND()))</f>
        <v/>
      </c>
    </row>
    <row r="8303">
      <c r="F8303">
        <f>F8302+1</f>
        <v/>
      </c>
      <c r="G8303" s="92">
        <f>EXP($C$12+$C$8*_xlfn.NORM.S.INV(RAND()))</f>
        <v/>
      </c>
    </row>
    <row r="8304">
      <c r="F8304">
        <f>F8303+1</f>
        <v/>
      </c>
      <c r="G8304" s="92">
        <f>EXP($C$12+$C$8*_xlfn.NORM.S.INV(RAND()))</f>
        <v/>
      </c>
    </row>
    <row r="8305">
      <c r="F8305">
        <f>F8304+1</f>
        <v/>
      </c>
      <c r="G8305" s="92">
        <f>EXP($C$12+$C$8*_xlfn.NORM.S.INV(RAND()))</f>
        <v/>
      </c>
    </row>
    <row r="8306">
      <c r="F8306">
        <f>F8305+1</f>
        <v/>
      </c>
      <c r="G8306" s="92">
        <f>EXP($C$12+$C$8*_xlfn.NORM.S.INV(RAND()))</f>
        <v/>
      </c>
    </row>
    <row r="8307">
      <c r="F8307">
        <f>F8306+1</f>
        <v/>
      </c>
      <c r="G8307" s="92">
        <f>EXP($C$12+$C$8*_xlfn.NORM.S.INV(RAND()))</f>
        <v/>
      </c>
    </row>
    <row r="8308">
      <c r="F8308">
        <f>F8307+1</f>
        <v/>
      </c>
      <c r="G8308" s="92">
        <f>EXP($C$12+$C$8*_xlfn.NORM.S.INV(RAND()))</f>
        <v/>
      </c>
    </row>
    <row r="8309">
      <c r="F8309">
        <f>F8308+1</f>
        <v/>
      </c>
      <c r="G8309" s="92">
        <f>EXP($C$12+$C$8*_xlfn.NORM.S.INV(RAND()))</f>
        <v/>
      </c>
    </row>
    <row r="8310">
      <c r="F8310">
        <f>F8309+1</f>
        <v/>
      </c>
      <c r="G8310" s="92">
        <f>EXP($C$12+$C$8*_xlfn.NORM.S.INV(RAND()))</f>
        <v/>
      </c>
    </row>
    <row r="8311">
      <c r="F8311">
        <f>F8310+1</f>
        <v/>
      </c>
      <c r="G8311" s="92">
        <f>EXP($C$12+$C$8*_xlfn.NORM.S.INV(RAND()))</f>
        <v/>
      </c>
    </row>
    <row r="8312">
      <c r="F8312">
        <f>F8311+1</f>
        <v/>
      </c>
      <c r="G8312" s="92">
        <f>EXP($C$12+$C$8*_xlfn.NORM.S.INV(RAND()))</f>
        <v/>
      </c>
    </row>
    <row r="8313">
      <c r="F8313">
        <f>F8312+1</f>
        <v/>
      </c>
      <c r="G8313" s="92">
        <f>EXP($C$12+$C$8*_xlfn.NORM.S.INV(RAND()))</f>
        <v/>
      </c>
    </row>
    <row r="8314">
      <c r="F8314">
        <f>F8313+1</f>
        <v/>
      </c>
      <c r="G8314" s="92">
        <f>EXP($C$12+$C$8*_xlfn.NORM.S.INV(RAND()))</f>
        <v/>
      </c>
    </row>
    <row r="8315">
      <c r="F8315">
        <f>F8314+1</f>
        <v/>
      </c>
      <c r="G8315" s="92">
        <f>EXP($C$12+$C$8*_xlfn.NORM.S.INV(RAND()))</f>
        <v/>
      </c>
    </row>
    <row r="8316">
      <c r="F8316">
        <f>F8315+1</f>
        <v/>
      </c>
      <c r="G8316" s="92">
        <f>EXP($C$12+$C$8*_xlfn.NORM.S.INV(RAND()))</f>
        <v/>
      </c>
    </row>
    <row r="8317">
      <c r="F8317">
        <f>F8316+1</f>
        <v/>
      </c>
      <c r="G8317" s="92">
        <f>EXP($C$12+$C$8*_xlfn.NORM.S.INV(RAND()))</f>
        <v/>
      </c>
    </row>
    <row r="8318">
      <c r="F8318">
        <f>F8317+1</f>
        <v/>
      </c>
      <c r="G8318" s="92">
        <f>EXP($C$12+$C$8*_xlfn.NORM.S.INV(RAND()))</f>
        <v/>
      </c>
    </row>
    <row r="8319">
      <c r="F8319">
        <f>F8318+1</f>
        <v/>
      </c>
      <c r="G8319" s="92">
        <f>EXP($C$12+$C$8*_xlfn.NORM.S.INV(RAND()))</f>
        <v/>
      </c>
    </row>
    <row r="8320">
      <c r="F8320">
        <f>F8319+1</f>
        <v/>
      </c>
      <c r="G8320" s="92">
        <f>EXP($C$12+$C$8*_xlfn.NORM.S.INV(RAND()))</f>
        <v/>
      </c>
    </row>
    <row r="8321">
      <c r="F8321">
        <f>F8320+1</f>
        <v/>
      </c>
      <c r="G8321" s="92">
        <f>EXP($C$12+$C$8*_xlfn.NORM.S.INV(RAND()))</f>
        <v/>
      </c>
    </row>
    <row r="8322">
      <c r="F8322">
        <f>F8321+1</f>
        <v/>
      </c>
      <c r="G8322" s="92">
        <f>EXP($C$12+$C$8*_xlfn.NORM.S.INV(RAND()))</f>
        <v/>
      </c>
    </row>
    <row r="8323">
      <c r="F8323">
        <f>F8322+1</f>
        <v/>
      </c>
      <c r="G8323" s="92">
        <f>EXP($C$12+$C$8*_xlfn.NORM.S.INV(RAND()))</f>
        <v/>
      </c>
    </row>
    <row r="8324">
      <c r="F8324">
        <f>F8323+1</f>
        <v/>
      </c>
      <c r="G8324" s="92">
        <f>EXP($C$12+$C$8*_xlfn.NORM.S.INV(RAND()))</f>
        <v/>
      </c>
    </row>
    <row r="8325">
      <c r="F8325">
        <f>F8324+1</f>
        <v/>
      </c>
      <c r="G8325" s="92">
        <f>EXP($C$12+$C$8*_xlfn.NORM.S.INV(RAND()))</f>
        <v/>
      </c>
    </row>
    <row r="8326">
      <c r="F8326">
        <f>F8325+1</f>
        <v/>
      </c>
      <c r="G8326" s="92">
        <f>EXP($C$12+$C$8*_xlfn.NORM.S.INV(RAND()))</f>
        <v/>
      </c>
    </row>
    <row r="8327">
      <c r="F8327">
        <f>F8326+1</f>
        <v/>
      </c>
      <c r="G8327" s="92">
        <f>EXP($C$12+$C$8*_xlfn.NORM.S.INV(RAND()))</f>
        <v/>
      </c>
    </row>
    <row r="8328">
      <c r="F8328">
        <f>F8327+1</f>
        <v/>
      </c>
      <c r="G8328" s="92">
        <f>EXP($C$12+$C$8*_xlfn.NORM.S.INV(RAND()))</f>
        <v/>
      </c>
    </row>
    <row r="8329">
      <c r="F8329">
        <f>F8328+1</f>
        <v/>
      </c>
      <c r="G8329" s="92">
        <f>EXP($C$12+$C$8*_xlfn.NORM.S.INV(RAND()))</f>
        <v/>
      </c>
    </row>
    <row r="8330">
      <c r="F8330">
        <f>F8329+1</f>
        <v/>
      </c>
      <c r="G8330" s="92">
        <f>EXP($C$12+$C$8*_xlfn.NORM.S.INV(RAND()))</f>
        <v/>
      </c>
    </row>
    <row r="8331">
      <c r="F8331">
        <f>F8330+1</f>
        <v/>
      </c>
      <c r="G8331" s="92">
        <f>EXP($C$12+$C$8*_xlfn.NORM.S.INV(RAND()))</f>
        <v/>
      </c>
    </row>
    <row r="8332">
      <c r="F8332">
        <f>F8331+1</f>
        <v/>
      </c>
      <c r="G8332" s="92">
        <f>EXP($C$12+$C$8*_xlfn.NORM.S.INV(RAND()))</f>
        <v/>
      </c>
    </row>
    <row r="8333">
      <c r="F8333">
        <f>F8332+1</f>
        <v/>
      </c>
      <c r="G8333" s="92">
        <f>EXP($C$12+$C$8*_xlfn.NORM.S.INV(RAND()))</f>
        <v/>
      </c>
    </row>
    <row r="8334">
      <c r="F8334">
        <f>F8333+1</f>
        <v/>
      </c>
      <c r="G8334" s="92">
        <f>EXP($C$12+$C$8*_xlfn.NORM.S.INV(RAND()))</f>
        <v/>
      </c>
    </row>
    <row r="8335">
      <c r="F8335">
        <f>F8334+1</f>
        <v/>
      </c>
      <c r="G8335" s="92">
        <f>EXP($C$12+$C$8*_xlfn.NORM.S.INV(RAND()))</f>
        <v/>
      </c>
    </row>
    <row r="8336">
      <c r="F8336">
        <f>F8335+1</f>
        <v/>
      </c>
      <c r="G8336" s="92">
        <f>EXP($C$12+$C$8*_xlfn.NORM.S.INV(RAND()))</f>
        <v/>
      </c>
    </row>
    <row r="8337">
      <c r="F8337">
        <f>F8336+1</f>
        <v/>
      </c>
      <c r="G8337" s="92">
        <f>EXP($C$12+$C$8*_xlfn.NORM.S.INV(RAND()))</f>
        <v/>
      </c>
    </row>
    <row r="8338">
      <c r="F8338">
        <f>F8337+1</f>
        <v/>
      </c>
      <c r="G8338" s="92">
        <f>EXP($C$12+$C$8*_xlfn.NORM.S.INV(RAND()))</f>
        <v/>
      </c>
    </row>
    <row r="8339">
      <c r="F8339">
        <f>F8338+1</f>
        <v/>
      </c>
      <c r="G8339" s="92">
        <f>EXP($C$12+$C$8*_xlfn.NORM.S.INV(RAND()))</f>
        <v/>
      </c>
    </row>
    <row r="8340">
      <c r="F8340">
        <f>F8339+1</f>
        <v/>
      </c>
      <c r="G8340" s="92">
        <f>EXP($C$12+$C$8*_xlfn.NORM.S.INV(RAND()))</f>
        <v/>
      </c>
    </row>
    <row r="8341">
      <c r="F8341">
        <f>F8340+1</f>
        <v/>
      </c>
      <c r="G8341" s="92">
        <f>EXP($C$12+$C$8*_xlfn.NORM.S.INV(RAND()))</f>
        <v/>
      </c>
    </row>
    <row r="8342">
      <c r="F8342">
        <f>F8341+1</f>
        <v/>
      </c>
      <c r="G8342" s="92">
        <f>EXP($C$12+$C$8*_xlfn.NORM.S.INV(RAND()))</f>
        <v/>
      </c>
    </row>
    <row r="8343">
      <c r="F8343">
        <f>F8342+1</f>
        <v/>
      </c>
      <c r="G8343" s="92">
        <f>EXP($C$12+$C$8*_xlfn.NORM.S.INV(RAND()))</f>
        <v/>
      </c>
    </row>
    <row r="8344">
      <c r="F8344">
        <f>F8343+1</f>
        <v/>
      </c>
      <c r="G8344" s="92">
        <f>EXP($C$12+$C$8*_xlfn.NORM.S.INV(RAND()))</f>
        <v/>
      </c>
    </row>
    <row r="8345">
      <c r="F8345">
        <f>F8344+1</f>
        <v/>
      </c>
      <c r="G8345" s="92">
        <f>EXP($C$12+$C$8*_xlfn.NORM.S.INV(RAND()))</f>
        <v/>
      </c>
    </row>
    <row r="8346">
      <c r="F8346">
        <f>F8345+1</f>
        <v/>
      </c>
      <c r="G8346" s="92">
        <f>EXP($C$12+$C$8*_xlfn.NORM.S.INV(RAND()))</f>
        <v/>
      </c>
    </row>
    <row r="8347">
      <c r="F8347">
        <f>F8346+1</f>
        <v/>
      </c>
      <c r="G8347" s="92">
        <f>EXP($C$12+$C$8*_xlfn.NORM.S.INV(RAND()))</f>
        <v/>
      </c>
    </row>
    <row r="8348">
      <c r="F8348">
        <f>F8347+1</f>
        <v/>
      </c>
      <c r="G8348" s="92">
        <f>EXP($C$12+$C$8*_xlfn.NORM.S.INV(RAND()))</f>
        <v/>
      </c>
    </row>
    <row r="8349">
      <c r="F8349">
        <f>F8348+1</f>
        <v/>
      </c>
      <c r="G8349" s="92">
        <f>EXP($C$12+$C$8*_xlfn.NORM.S.INV(RAND()))</f>
        <v/>
      </c>
    </row>
    <row r="8350">
      <c r="F8350">
        <f>F8349+1</f>
        <v/>
      </c>
      <c r="G8350" s="92">
        <f>EXP($C$12+$C$8*_xlfn.NORM.S.INV(RAND()))</f>
        <v/>
      </c>
    </row>
    <row r="8351">
      <c r="F8351">
        <f>F8350+1</f>
        <v/>
      </c>
      <c r="G8351" s="92">
        <f>EXP($C$12+$C$8*_xlfn.NORM.S.INV(RAND()))</f>
        <v/>
      </c>
    </row>
    <row r="8352">
      <c r="F8352">
        <f>F8351+1</f>
        <v/>
      </c>
      <c r="G8352" s="92">
        <f>EXP($C$12+$C$8*_xlfn.NORM.S.INV(RAND()))</f>
        <v/>
      </c>
    </row>
    <row r="8353">
      <c r="F8353">
        <f>F8352+1</f>
        <v/>
      </c>
      <c r="G8353" s="92">
        <f>EXP($C$12+$C$8*_xlfn.NORM.S.INV(RAND()))</f>
        <v/>
      </c>
    </row>
    <row r="8354">
      <c r="F8354">
        <f>F8353+1</f>
        <v/>
      </c>
      <c r="G8354" s="92">
        <f>EXP($C$12+$C$8*_xlfn.NORM.S.INV(RAND()))</f>
        <v/>
      </c>
    </row>
    <row r="8355">
      <c r="F8355">
        <f>F8354+1</f>
        <v/>
      </c>
      <c r="G8355" s="92">
        <f>EXP($C$12+$C$8*_xlfn.NORM.S.INV(RAND()))</f>
        <v/>
      </c>
    </row>
    <row r="8356">
      <c r="F8356">
        <f>F8355+1</f>
        <v/>
      </c>
      <c r="G8356" s="92">
        <f>EXP($C$12+$C$8*_xlfn.NORM.S.INV(RAND()))</f>
        <v/>
      </c>
    </row>
    <row r="8357">
      <c r="F8357">
        <f>F8356+1</f>
        <v/>
      </c>
      <c r="G8357" s="92">
        <f>EXP($C$12+$C$8*_xlfn.NORM.S.INV(RAND()))</f>
        <v/>
      </c>
    </row>
    <row r="8358">
      <c r="F8358">
        <f>F8357+1</f>
        <v/>
      </c>
      <c r="G8358" s="92">
        <f>EXP($C$12+$C$8*_xlfn.NORM.S.INV(RAND()))</f>
        <v/>
      </c>
    </row>
    <row r="8359">
      <c r="F8359">
        <f>F8358+1</f>
        <v/>
      </c>
      <c r="G8359" s="92">
        <f>EXP($C$12+$C$8*_xlfn.NORM.S.INV(RAND()))</f>
        <v/>
      </c>
    </row>
    <row r="8360">
      <c r="F8360">
        <f>F8359+1</f>
        <v/>
      </c>
      <c r="G8360" s="92">
        <f>EXP($C$12+$C$8*_xlfn.NORM.S.INV(RAND()))</f>
        <v/>
      </c>
    </row>
    <row r="8361">
      <c r="F8361">
        <f>F8360+1</f>
        <v/>
      </c>
      <c r="G8361" s="92">
        <f>EXP($C$12+$C$8*_xlfn.NORM.S.INV(RAND()))</f>
        <v/>
      </c>
    </row>
    <row r="8362">
      <c r="F8362">
        <f>F8361+1</f>
        <v/>
      </c>
      <c r="G8362" s="92">
        <f>EXP($C$12+$C$8*_xlfn.NORM.S.INV(RAND()))</f>
        <v/>
      </c>
    </row>
    <row r="8363">
      <c r="F8363">
        <f>F8362+1</f>
        <v/>
      </c>
      <c r="G8363" s="92">
        <f>EXP($C$12+$C$8*_xlfn.NORM.S.INV(RAND()))</f>
        <v/>
      </c>
    </row>
    <row r="8364">
      <c r="F8364">
        <f>F8363+1</f>
        <v/>
      </c>
      <c r="G8364" s="92">
        <f>EXP($C$12+$C$8*_xlfn.NORM.S.INV(RAND()))</f>
        <v/>
      </c>
    </row>
    <row r="8365">
      <c r="F8365">
        <f>F8364+1</f>
        <v/>
      </c>
      <c r="G8365" s="92">
        <f>EXP($C$12+$C$8*_xlfn.NORM.S.INV(RAND()))</f>
        <v/>
      </c>
    </row>
    <row r="8366">
      <c r="F8366">
        <f>F8365+1</f>
        <v/>
      </c>
      <c r="G8366" s="92">
        <f>EXP($C$12+$C$8*_xlfn.NORM.S.INV(RAND()))</f>
        <v/>
      </c>
    </row>
    <row r="8367">
      <c r="F8367">
        <f>F8366+1</f>
        <v/>
      </c>
      <c r="G8367" s="92">
        <f>EXP($C$12+$C$8*_xlfn.NORM.S.INV(RAND()))</f>
        <v/>
      </c>
    </row>
    <row r="8368">
      <c r="F8368">
        <f>F8367+1</f>
        <v/>
      </c>
      <c r="G8368" s="92">
        <f>EXP($C$12+$C$8*_xlfn.NORM.S.INV(RAND()))</f>
        <v/>
      </c>
    </row>
    <row r="8369">
      <c r="F8369">
        <f>F8368+1</f>
        <v/>
      </c>
      <c r="G8369" s="92">
        <f>EXP($C$12+$C$8*_xlfn.NORM.S.INV(RAND()))</f>
        <v/>
      </c>
    </row>
    <row r="8370">
      <c r="F8370">
        <f>F8369+1</f>
        <v/>
      </c>
      <c r="G8370" s="92">
        <f>EXP($C$12+$C$8*_xlfn.NORM.S.INV(RAND()))</f>
        <v/>
      </c>
    </row>
    <row r="8371">
      <c r="F8371">
        <f>F8370+1</f>
        <v/>
      </c>
      <c r="G8371" s="92">
        <f>EXP($C$12+$C$8*_xlfn.NORM.S.INV(RAND()))</f>
        <v/>
      </c>
    </row>
    <row r="8372">
      <c r="F8372">
        <f>F8371+1</f>
        <v/>
      </c>
      <c r="G8372" s="92">
        <f>EXP($C$12+$C$8*_xlfn.NORM.S.INV(RAND()))</f>
        <v/>
      </c>
    </row>
    <row r="8373">
      <c r="F8373">
        <f>F8372+1</f>
        <v/>
      </c>
      <c r="G8373" s="92">
        <f>EXP($C$12+$C$8*_xlfn.NORM.S.INV(RAND()))</f>
        <v/>
      </c>
    </row>
    <row r="8374">
      <c r="F8374">
        <f>F8373+1</f>
        <v/>
      </c>
      <c r="G8374" s="92">
        <f>EXP($C$12+$C$8*_xlfn.NORM.S.INV(RAND()))</f>
        <v/>
      </c>
    </row>
    <row r="8375">
      <c r="F8375">
        <f>F8374+1</f>
        <v/>
      </c>
      <c r="G8375" s="92">
        <f>EXP($C$12+$C$8*_xlfn.NORM.S.INV(RAND()))</f>
        <v/>
      </c>
    </row>
    <row r="8376">
      <c r="F8376">
        <f>F8375+1</f>
        <v/>
      </c>
      <c r="G8376" s="92">
        <f>EXP($C$12+$C$8*_xlfn.NORM.S.INV(RAND()))</f>
        <v/>
      </c>
    </row>
    <row r="8377">
      <c r="F8377">
        <f>F8376+1</f>
        <v/>
      </c>
      <c r="G8377" s="92">
        <f>EXP($C$12+$C$8*_xlfn.NORM.S.INV(RAND()))</f>
        <v/>
      </c>
    </row>
    <row r="8378">
      <c r="F8378">
        <f>F8377+1</f>
        <v/>
      </c>
      <c r="G8378" s="92">
        <f>EXP($C$12+$C$8*_xlfn.NORM.S.INV(RAND()))</f>
        <v/>
      </c>
    </row>
    <row r="8379">
      <c r="F8379">
        <f>F8378+1</f>
        <v/>
      </c>
      <c r="G8379" s="92">
        <f>EXP($C$12+$C$8*_xlfn.NORM.S.INV(RAND()))</f>
        <v/>
      </c>
    </row>
    <row r="8380">
      <c r="F8380">
        <f>F8379+1</f>
        <v/>
      </c>
      <c r="G8380" s="92">
        <f>EXP($C$12+$C$8*_xlfn.NORM.S.INV(RAND()))</f>
        <v/>
      </c>
    </row>
    <row r="8381">
      <c r="F8381">
        <f>F8380+1</f>
        <v/>
      </c>
      <c r="G8381" s="92">
        <f>EXP($C$12+$C$8*_xlfn.NORM.S.INV(RAND()))</f>
        <v/>
      </c>
    </row>
    <row r="8382">
      <c r="F8382">
        <f>F8381+1</f>
        <v/>
      </c>
      <c r="G8382" s="92">
        <f>EXP($C$12+$C$8*_xlfn.NORM.S.INV(RAND()))</f>
        <v/>
      </c>
    </row>
    <row r="8383">
      <c r="F8383">
        <f>F8382+1</f>
        <v/>
      </c>
      <c r="G8383" s="92">
        <f>EXP($C$12+$C$8*_xlfn.NORM.S.INV(RAND()))</f>
        <v/>
      </c>
    </row>
    <row r="8384">
      <c r="F8384">
        <f>F8383+1</f>
        <v/>
      </c>
      <c r="G8384" s="92">
        <f>EXP($C$12+$C$8*_xlfn.NORM.S.INV(RAND()))</f>
        <v/>
      </c>
    </row>
    <row r="8385">
      <c r="F8385">
        <f>F8384+1</f>
        <v/>
      </c>
      <c r="G8385" s="92">
        <f>EXP($C$12+$C$8*_xlfn.NORM.S.INV(RAND()))</f>
        <v/>
      </c>
    </row>
    <row r="8386">
      <c r="F8386">
        <f>F8385+1</f>
        <v/>
      </c>
      <c r="G8386" s="92">
        <f>EXP($C$12+$C$8*_xlfn.NORM.S.INV(RAND()))</f>
        <v/>
      </c>
    </row>
    <row r="8387">
      <c r="F8387">
        <f>F8386+1</f>
        <v/>
      </c>
      <c r="G8387" s="92">
        <f>EXP($C$12+$C$8*_xlfn.NORM.S.INV(RAND()))</f>
        <v/>
      </c>
    </row>
    <row r="8388">
      <c r="F8388">
        <f>F8387+1</f>
        <v/>
      </c>
      <c r="G8388" s="92">
        <f>EXP($C$12+$C$8*_xlfn.NORM.S.INV(RAND()))</f>
        <v/>
      </c>
    </row>
    <row r="8389">
      <c r="F8389">
        <f>F8388+1</f>
        <v/>
      </c>
      <c r="G8389" s="92">
        <f>EXP($C$12+$C$8*_xlfn.NORM.S.INV(RAND()))</f>
        <v/>
      </c>
    </row>
    <row r="8390">
      <c r="F8390">
        <f>F8389+1</f>
        <v/>
      </c>
      <c r="G8390" s="92">
        <f>EXP($C$12+$C$8*_xlfn.NORM.S.INV(RAND()))</f>
        <v/>
      </c>
    </row>
    <row r="8391">
      <c r="F8391">
        <f>F8390+1</f>
        <v/>
      </c>
      <c r="G8391" s="92">
        <f>EXP($C$12+$C$8*_xlfn.NORM.S.INV(RAND()))</f>
        <v/>
      </c>
    </row>
    <row r="8392">
      <c r="F8392">
        <f>F8391+1</f>
        <v/>
      </c>
      <c r="G8392" s="92">
        <f>EXP($C$12+$C$8*_xlfn.NORM.S.INV(RAND()))</f>
        <v/>
      </c>
    </row>
    <row r="8393">
      <c r="F8393">
        <f>F8392+1</f>
        <v/>
      </c>
      <c r="G8393" s="92">
        <f>EXP($C$12+$C$8*_xlfn.NORM.S.INV(RAND()))</f>
        <v/>
      </c>
    </row>
    <row r="8394">
      <c r="F8394">
        <f>F8393+1</f>
        <v/>
      </c>
      <c r="G8394" s="92">
        <f>EXP($C$12+$C$8*_xlfn.NORM.S.INV(RAND()))</f>
        <v/>
      </c>
    </row>
    <row r="8395">
      <c r="F8395">
        <f>F8394+1</f>
        <v/>
      </c>
      <c r="G8395" s="92">
        <f>EXP($C$12+$C$8*_xlfn.NORM.S.INV(RAND()))</f>
        <v/>
      </c>
    </row>
    <row r="8396">
      <c r="F8396">
        <f>F8395+1</f>
        <v/>
      </c>
      <c r="G8396" s="92">
        <f>EXP($C$12+$C$8*_xlfn.NORM.S.INV(RAND()))</f>
        <v/>
      </c>
    </row>
    <row r="8397">
      <c r="F8397">
        <f>F8396+1</f>
        <v/>
      </c>
      <c r="G8397" s="92">
        <f>EXP($C$12+$C$8*_xlfn.NORM.S.INV(RAND()))</f>
        <v/>
      </c>
    </row>
    <row r="8398">
      <c r="F8398">
        <f>F8397+1</f>
        <v/>
      </c>
      <c r="G8398" s="92">
        <f>EXP($C$12+$C$8*_xlfn.NORM.S.INV(RAND()))</f>
        <v/>
      </c>
    </row>
    <row r="8399">
      <c r="F8399">
        <f>F8398+1</f>
        <v/>
      </c>
      <c r="G8399" s="92">
        <f>EXP($C$12+$C$8*_xlfn.NORM.S.INV(RAND()))</f>
        <v/>
      </c>
    </row>
    <row r="8400">
      <c r="F8400">
        <f>F8399+1</f>
        <v/>
      </c>
      <c r="G8400" s="92">
        <f>EXP($C$12+$C$8*_xlfn.NORM.S.INV(RAND()))</f>
        <v/>
      </c>
    </row>
    <row r="8401">
      <c r="F8401">
        <f>F8400+1</f>
        <v/>
      </c>
      <c r="G8401" s="92">
        <f>EXP($C$12+$C$8*_xlfn.NORM.S.INV(RAND()))</f>
        <v/>
      </c>
    </row>
    <row r="8402">
      <c r="F8402">
        <f>F8401+1</f>
        <v/>
      </c>
      <c r="G8402" s="92">
        <f>EXP($C$12+$C$8*_xlfn.NORM.S.INV(RAND()))</f>
        <v/>
      </c>
    </row>
    <row r="8403">
      <c r="F8403">
        <f>F8402+1</f>
        <v/>
      </c>
      <c r="G8403" s="92">
        <f>EXP($C$12+$C$8*_xlfn.NORM.S.INV(RAND()))</f>
        <v/>
      </c>
    </row>
    <row r="8404">
      <c r="F8404">
        <f>F8403+1</f>
        <v/>
      </c>
      <c r="G8404" s="92">
        <f>EXP($C$12+$C$8*_xlfn.NORM.S.INV(RAND()))</f>
        <v/>
      </c>
    </row>
    <row r="8405">
      <c r="F8405">
        <f>F8404+1</f>
        <v/>
      </c>
      <c r="G8405" s="92">
        <f>EXP($C$12+$C$8*_xlfn.NORM.S.INV(RAND()))</f>
        <v/>
      </c>
    </row>
    <row r="8406">
      <c r="F8406">
        <f>F8405+1</f>
        <v/>
      </c>
      <c r="G8406" s="92">
        <f>EXP($C$12+$C$8*_xlfn.NORM.S.INV(RAND()))</f>
        <v/>
      </c>
    </row>
    <row r="8407">
      <c r="F8407">
        <f>F8406+1</f>
        <v/>
      </c>
      <c r="G8407" s="92">
        <f>EXP($C$12+$C$8*_xlfn.NORM.S.INV(RAND()))</f>
        <v/>
      </c>
    </row>
    <row r="8408">
      <c r="F8408">
        <f>F8407+1</f>
        <v/>
      </c>
      <c r="G8408" s="92">
        <f>EXP($C$12+$C$8*_xlfn.NORM.S.INV(RAND()))</f>
        <v/>
      </c>
    </row>
    <row r="8409">
      <c r="F8409">
        <f>F8408+1</f>
        <v/>
      </c>
      <c r="G8409" s="92">
        <f>EXP($C$12+$C$8*_xlfn.NORM.S.INV(RAND()))</f>
        <v/>
      </c>
    </row>
    <row r="8410">
      <c r="F8410">
        <f>F8409+1</f>
        <v/>
      </c>
      <c r="G8410" s="92">
        <f>EXP($C$12+$C$8*_xlfn.NORM.S.INV(RAND()))</f>
        <v/>
      </c>
    </row>
    <row r="8411">
      <c r="F8411">
        <f>F8410+1</f>
        <v/>
      </c>
      <c r="G8411" s="92">
        <f>EXP($C$12+$C$8*_xlfn.NORM.S.INV(RAND()))</f>
        <v/>
      </c>
    </row>
    <row r="8412">
      <c r="F8412">
        <f>F8411+1</f>
        <v/>
      </c>
      <c r="G8412" s="92">
        <f>EXP($C$12+$C$8*_xlfn.NORM.S.INV(RAND()))</f>
        <v/>
      </c>
    </row>
    <row r="8413">
      <c r="F8413">
        <f>F8412+1</f>
        <v/>
      </c>
      <c r="G8413" s="92">
        <f>EXP($C$12+$C$8*_xlfn.NORM.S.INV(RAND()))</f>
        <v/>
      </c>
    </row>
    <row r="8414">
      <c r="F8414">
        <f>F8413+1</f>
        <v/>
      </c>
      <c r="G8414" s="92">
        <f>EXP($C$12+$C$8*_xlfn.NORM.S.INV(RAND()))</f>
        <v/>
      </c>
    </row>
    <row r="8415">
      <c r="F8415">
        <f>F8414+1</f>
        <v/>
      </c>
      <c r="G8415" s="92">
        <f>EXP($C$12+$C$8*_xlfn.NORM.S.INV(RAND()))</f>
        <v/>
      </c>
    </row>
    <row r="8416">
      <c r="F8416">
        <f>F8415+1</f>
        <v/>
      </c>
      <c r="G8416" s="92">
        <f>EXP($C$12+$C$8*_xlfn.NORM.S.INV(RAND()))</f>
        <v/>
      </c>
    </row>
    <row r="8417">
      <c r="F8417">
        <f>F8416+1</f>
        <v/>
      </c>
      <c r="G8417" s="92">
        <f>EXP($C$12+$C$8*_xlfn.NORM.S.INV(RAND()))</f>
        <v/>
      </c>
    </row>
    <row r="8418">
      <c r="F8418">
        <f>F8417+1</f>
        <v/>
      </c>
      <c r="G8418" s="92">
        <f>EXP($C$12+$C$8*_xlfn.NORM.S.INV(RAND()))</f>
        <v/>
      </c>
    </row>
    <row r="8419">
      <c r="F8419">
        <f>F8418+1</f>
        <v/>
      </c>
      <c r="G8419" s="92">
        <f>EXP($C$12+$C$8*_xlfn.NORM.S.INV(RAND()))</f>
        <v/>
      </c>
    </row>
    <row r="8420">
      <c r="F8420">
        <f>F8419+1</f>
        <v/>
      </c>
      <c r="G8420" s="92">
        <f>EXP($C$12+$C$8*_xlfn.NORM.S.INV(RAND()))</f>
        <v/>
      </c>
    </row>
    <row r="8421">
      <c r="F8421">
        <f>F8420+1</f>
        <v/>
      </c>
      <c r="G8421" s="92">
        <f>EXP($C$12+$C$8*_xlfn.NORM.S.INV(RAND()))</f>
        <v/>
      </c>
    </row>
    <row r="8422">
      <c r="F8422">
        <f>F8421+1</f>
        <v/>
      </c>
      <c r="G8422" s="92">
        <f>EXP($C$12+$C$8*_xlfn.NORM.S.INV(RAND()))</f>
        <v/>
      </c>
    </row>
    <row r="8423">
      <c r="F8423">
        <f>F8422+1</f>
        <v/>
      </c>
      <c r="G8423" s="92">
        <f>EXP($C$12+$C$8*_xlfn.NORM.S.INV(RAND()))</f>
        <v/>
      </c>
    </row>
    <row r="8424">
      <c r="F8424">
        <f>F8423+1</f>
        <v/>
      </c>
      <c r="G8424" s="92">
        <f>EXP($C$12+$C$8*_xlfn.NORM.S.INV(RAND()))</f>
        <v/>
      </c>
    </row>
    <row r="8425">
      <c r="F8425">
        <f>F8424+1</f>
        <v/>
      </c>
      <c r="G8425" s="92">
        <f>EXP($C$12+$C$8*_xlfn.NORM.S.INV(RAND()))</f>
        <v/>
      </c>
    </row>
    <row r="8426">
      <c r="F8426">
        <f>F8425+1</f>
        <v/>
      </c>
      <c r="G8426" s="92">
        <f>EXP($C$12+$C$8*_xlfn.NORM.S.INV(RAND()))</f>
        <v/>
      </c>
    </row>
    <row r="8427">
      <c r="F8427">
        <f>F8426+1</f>
        <v/>
      </c>
      <c r="G8427" s="92">
        <f>EXP($C$12+$C$8*_xlfn.NORM.S.INV(RAND()))</f>
        <v/>
      </c>
    </row>
    <row r="8428">
      <c r="F8428">
        <f>F8427+1</f>
        <v/>
      </c>
      <c r="G8428" s="92">
        <f>EXP($C$12+$C$8*_xlfn.NORM.S.INV(RAND()))</f>
        <v/>
      </c>
    </row>
    <row r="8429">
      <c r="F8429">
        <f>F8428+1</f>
        <v/>
      </c>
      <c r="G8429" s="92">
        <f>EXP($C$12+$C$8*_xlfn.NORM.S.INV(RAND()))</f>
        <v/>
      </c>
    </row>
    <row r="8430">
      <c r="F8430">
        <f>F8429+1</f>
        <v/>
      </c>
      <c r="G8430" s="92">
        <f>EXP($C$12+$C$8*_xlfn.NORM.S.INV(RAND()))</f>
        <v/>
      </c>
    </row>
    <row r="8431">
      <c r="F8431">
        <f>F8430+1</f>
        <v/>
      </c>
      <c r="G8431" s="92">
        <f>EXP($C$12+$C$8*_xlfn.NORM.S.INV(RAND()))</f>
        <v/>
      </c>
    </row>
    <row r="8432">
      <c r="F8432">
        <f>F8431+1</f>
        <v/>
      </c>
      <c r="G8432" s="92">
        <f>EXP($C$12+$C$8*_xlfn.NORM.S.INV(RAND()))</f>
        <v/>
      </c>
    </row>
    <row r="8433">
      <c r="F8433">
        <f>F8432+1</f>
        <v/>
      </c>
      <c r="G8433" s="92">
        <f>EXP($C$12+$C$8*_xlfn.NORM.S.INV(RAND()))</f>
        <v/>
      </c>
    </row>
    <row r="8434">
      <c r="F8434">
        <f>F8433+1</f>
        <v/>
      </c>
      <c r="G8434" s="92">
        <f>EXP($C$12+$C$8*_xlfn.NORM.S.INV(RAND()))</f>
        <v/>
      </c>
    </row>
    <row r="8435">
      <c r="F8435">
        <f>F8434+1</f>
        <v/>
      </c>
      <c r="G8435" s="92">
        <f>EXP($C$12+$C$8*_xlfn.NORM.S.INV(RAND()))</f>
        <v/>
      </c>
    </row>
    <row r="8436">
      <c r="F8436">
        <f>F8435+1</f>
        <v/>
      </c>
      <c r="G8436" s="92">
        <f>EXP($C$12+$C$8*_xlfn.NORM.S.INV(RAND()))</f>
        <v/>
      </c>
    </row>
    <row r="8437">
      <c r="F8437">
        <f>F8436+1</f>
        <v/>
      </c>
      <c r="G8437" s="92">
        <f>EXP($C$12+$C$8*_xlfn.NORM.S.INV(RAND()))</f>
        <v/>
      </c>
    </row>
    <row r="8438">
      <c r="F8438">
        <f>F8437+1</f>
        <v/>
      </c>
      <c r="G8438" s="92">
        <f>EXP($C$12+$C$8*_xlfn.NORM.S.INV(RAND()))</f>
        <v/>
      </c>
    </row>
    <row r="8439">
      <c r="F8439">
        <f>F8438+1</f>
        <v/>
      </c>
      <c r="G8439" s="92">
        <f>EXP($C$12+$C$8*_xlfn.NORM.S.INV(RAND()))</f>
        <v/>
      </c>
    </row>
    <row r="8440">
      <c r="F8440">
        <f>F8439+1</f>
        <v/>
      </c>
      <c r="G8440" s="92">
        <f>EXP($C$12+$C$8*_xlfn.NORM.S.INV(RAND()))</f>
        <v/>
      </c>
    </row>
    <row r="8441">
      <c r="F8441">
        <f>F8440+1</f>
        <v/>
      </c>
      <c r="G8441" s="92">
        <f>EXP($C$12+$C$8*_xlfn.NORM.S.INV(RAND()))</f>
        <v/>
      </c>
    </row>
    <row r="8442">
      <c r="F8442">
        <f>F8441+1</f>
        <v/>
      </c>
      <c r="G8442" s="92">
        <f>EXP($C$12+$C$8*_xlfn.NORM.S.INV(RAND()))</f>
        <v/>
      </c>
    </row>
    <row r="8443">
      <c r="F8443">
        <f>F8442+1</f>
        <v/>
      </c>
      <c r="G8443" s="92">
        <f>EXP($C$12+$C$8*_xlfn.NORM.S.INV(RAND()))</f>
        <v/>
      </c>
    </row>
    <row r="8444">
      <c r="F8444">
        <f>F8443+1</f>
        <v/>
      </c>
      <c r="G8444" s="92">
        <f>EXP($C$12+$C$8*_xlfn.NORM.S.INV(RAND()))</f>
        <v/>
      </c>
    </row>
    <row r="8445">
      <c r="F8445">
        <f>F8444+1</f>
        <v/>
      </c>
      <c r="G8445" s="92">
        <f>EXP($C$12+$C$8*_xlfn.NORM.S.INV(RAND()))</f>
        <v/>
      </c>
    </row>
    <row r="8446">
      <c r="F8446">
        <f>F8445+1</f>
        <v/>
      </c>
      <c r="G8446" s="92">
        <f>EXP($C$12+$C$8*_xlfn.NORM.S.INV(RAND()))</f>
        <v/>
      </c>
    </row>
    <row r="8447">
      <c r="F8447">
        <f>F8446+1</f>
        <v/>
      </c>
      <c r="G8447" s="92">
        <f>EXP($C$12+$C$8*_xlfn.NORM.S.INV(RAND()))</f>
        <v/>
      </c>
    </row>
    <row r="8448">
      <c r="F8448">
        <f>F8447+1</f>
        <v/>
      </c>
      <c r="G8448" s="92">
        <f>EXP($C$12+$C$8*_xlfn.NORM.S.INV(RAND()))</f>
        <v/>
      </c>
    </row>
    <row r="8449">
      <c r="F8449">
        <f>F8448+1</f>
        <v/>
      </c>
      <c r="G8449" s="92">
        <f>EXP($C$12+$C$8*_xlfn.NORM.S.INV(RAND()))</f>
        <v/>
      </c>
    </row>
    <row r="8450">
      <c r="F8450">
        <f>F8449+1</f>
        <v/>
      </c>
      <c r="G8450" s="92">
        <f>EXP($C$12+$C$8*_xlfn.NORM.S.INV(RAND()))</f>
        <v/>
      </c>
    </row>
    <row r="8451">
      <c r="F8451">
        <f>F8450+1</f>
        <v/>
      </c>
      <c r="G8451" s="92">
        <f>EXP($C$12+$C$8*_xlfn.NORM.S.INV(RAND()))</f>
        <v/>
      </c>
    </row>
    <row r="8452">
      <c r="F8452">
        <f>F8451+1</f>
        <v/>
      </c>
      <c r="G8452" s="92">
        <f>EXP($C$12+$C$8*_xlfn.NORM.S.INV(RAND()))</f>
        <v/>
      </c>
    </row>
    <row r="8453">
      <c r="F8453">
        <f>F8452+1</f>
        <v/>
      </c>
      <c r="G8453" s="92">
        <f>EXP($C$12+$C$8*_xlfn.NORM.S.INV(RAND()))</f>
        <v/>
      </c>
    </row>
    <row r="8454">
      <c r="F8454">
        <f>F8453+1</f>
        <v/>
      </c>
      <c r="G8454" s="92">
        <f>EXP($C$12+$C$8*_xlfn.NORM.S.INV(RAND()))</f>
        <v/>
      </c>
    </row>
    <row r="8455">
      <c r="F8455">
        <f>F8454+1</f>
        <v/>
      </c>
      <c r="G8455" s="92">
        <f>EXP($C$12+$C$8*_xlfn.NORM.S.INV(RAND()))</f>
        <v/>
      </c>
    </row>
    <row r="8456">
      <c r="F8456">
        <f>F8455+1</f>
        <v/>
      </c>
      <c r="G8456" s="92">
        <f>EXP($C$12+$C$8*_xlfn.NORM.S.INV(RAND()))</f>
        <v/>
      </c>
    </row>
    <row r="8457">
      <c r="F8457">
        <f>F8456+1</f>
        <v/>
      </c>
      <c r="G8457" s="92">
        <f>EXP($C$12+$C$8*_xlfn.NORM.S.INV(RAND()))</f>
        <v/>
      </c>
    </row>
    <row r="8458">
      <c r="F8458">
        <f>F8457+1</f>
        <v/>
      </c>
      <c r="G8458" s="92">
        <f>EXP($C$12+$C$8*_xlfn.NORM.S.INV(RAND()))</f>
        <v/>
      </c>
    </row>
    <row r="8459">
      <c r="F8459">
        <f>F8458+1</f>
        <v/>
      </c>
      <c r="G8459" s="92">
        <f>EXP($C$12+$C$8*_xlfn.NORM.S.INV(RAND()))</f>
        <v/>
      </c>
    </row>
    <row r="8460">
      <c r="F8460">
        <f>F8459+1</f>
        <v/>
      </c>
      <c r="G8460" s="92">
        <f>EXP($C$12+$C$8*_xlfn.NORM.S.INV(RAND()))</f>
        <v/>
      </c>
    </row>
    <row r="8461">
      <c r="F8461">
        <f>F8460+1</f>
        <v/>
      </c>
      <c r="G8461" s="92">
        <f>EXP($C$12+$C$8*_xlfn.NORM.S.INV(RAND()))</f>
        <v/>
      </c>
    </row>
    <row r="8462">
      <c r="F8462">
        <f>F8461+1</f>
        <v/>
      </c>
      <c r="G8462" s="92">
        <f>EXP($C$12+$C$8*_xlfn.NORM.S.INV(RAND()))</f>
        <v/>
      </c>
    </row>
    <row r="8463">
      <c r="F8463">
        <f>F8462+1</f>
        <v/>
      </c>
      <c r="G8463" s="92">
        <f>EXP($C$12+$C$8*_xlfn.NORM.S.INV(RAND()))</f>
        <v/>
      </c>
    </row>
    <row r="8464">
      <c r="F8464">
        <f>F8463+1</f>
        <v/>
      </c>
      <c r="G8464" s="92">
        <f>EXP($C$12+$C$8*_xlfn.NORM.S.INV(RAND()))</f>
        <v/>
      </c>
    </row>
    <row r="8465">
      <c r="F8465">
        <f>F8464+1</f>
        <v/>
      </c>
      <c r="G8465" s="92">
        <f>EXP($C$12+$C$8*_xlfn.NORM.S.INV(RAND()))</f>
        <v/>
      </c>
    </row>
    <row r="8466">
      <c r="F8466">
        <f>F8465+1</f>
        <v/>
      </c>
      <c r="G8466" s="92">
        <f>EXP($C$12+$C$8*_xlfn.NORM.S.INV(RAND()))</f>
        <v/>
      </c>
    </row>
    <row r="8467">
      <c r="F8467">
        <f>F8466+1</f>
        <v/>
      </c>
      <c r="G8467" s="92">
        <f>EXP($C$12+$C$8*_xlfn.NORM.S.INV(RAND()))</f>
        <v/>
      </c>
    </row>
    <row r="8468">
      <c r="F8468">
        <f>F8467+1</f>
        <v/>
      </c>
      <c r="G8468" s="92">
        <f>EXP($C$12+$C$8*_xlfn.NORM.S.INV(RAND()))</f>
        <v/>
      </c>
    </row>
    <row r="8469">
      <c r="F8469">
        <f>F8468+1</f>
        <v/>
      </c>
      <c r="G8469" s="92">
        <f>EXP($C$12+$C$8*_xlfn.NORM.S.INV(RAND()))</f>
        <v/>
      </c>
    </row>
    <row r="8470">
      <c r="F8470">
        <f>F8469+1</f>
        <v/>
      </c>
      <c r="G8470" s="92">
        <f>EXP($C$12+$C$8*_xlfn.NORM.S.INV(RAND()))</f>
        <v/>
      </c>
    </row>
    <row r="8471">
      <c r="F8471">
        <f>F8470+1</f>
        <v/>
      </c>
      <c r="G8471" s="92">
        <f>EXP($C$12+$C$8*_xlfn.NORM.S.INV(RAND()))</f>
        <v/>
      </c>
    </row>
    <row r="8472">
      <c r="F8472">
        <f>F8471+1</f>
        <v/>
      </c>
      <c r="G8472" s="92">
        <f>EXP($C$12+$C$8*_xlfn.NORM.S.INV(RAND()))</f>
        <v/>
      </c>
    </row>
    <row r="8473">
      <c r="F8473">
        <f>F8472+1</f>
        <v/>
      </c>
      <c r="G8473" s="92">
        <f>EXP($C$12+$C$8*_xlfn.NORM.S.INV(RAND()))</f>
        <v/>
      </c>
    </row>
    <row r="8474">
      <c r="F8474">
        <f>F8473+1</f>
        <v/>
      </c>
      <c r="G8474" s="92">
        <f>EXP($C$12+$C$8*_xlfn.NORM.S.INV(RAND()))</f>
        <v/>
      </c>
    </row>
    <row r="8475">
      <c r="F8475">
        <f>F8474+1</f>
        <v/>
      </c>
      <c r="G8475" s="92">
        <f>EXP($C$12+$C$8*_xlfn.NORM.S.INV(RAND()))</f>
        <v/>
      </c>
    </row>
    <row r="8476">
      <c r="F8476">
        <f>F8475+1</f>
        <v/>
      </c>
      <c r="G8476" s="92">
        <f>EXP($C$12+$C$8*_xlfn.NORM.S.INV(RAND()))</f>
        <v/>
      </c>
    </row>
    <row r="8477">
      <c r="F8477">
        <f>F8476+1</f>
        <v/>
      </c>
      <c r="G8477" s="92">
        <f>EXP($C$12+$C$8*_xlfn.NORM.S.INV(RAND()))</f>
        <v/>
      </c>
    </row>
    <row r="8478">
      <c r="F8478">
        <f>F8477+1</f>
        <v/>
      </c>
      <c r="G8478" s="92">
        <f>EXP($C$12+$C$8*_xlfn.NORM.S.INV(RAND()))</f>
        <v/>
      </c>
    </row>
    <row r="8479">
      <c r="F8479">
        <f>F8478+1</f>
        <v/>
      </c>
      <c r="G8479" s="92">
        <f>EXP($C$12+$C$8*_xlfn.NORM.S.INV(RAND()))</f>
        <v/>
      </c>
    </row>
    <row r="8480">
      <c r="F8480">
        <f>F8479+1</f>
        <v/>
      </c>
      <c r="G8480" s="92">
        <f>EXP($C$12+$C$8*_xlfn.NORM.S.INV(RAND()))</f>
        <v/>
      </c>
    </row>
    <row r="8481">
      <c r="F8481">
        <f>F8480+1</f>
        <v/>
      </c>
      <c r="G8481" s="92">
        <f>EXP($C$12+$C$8*_xlfn.NORM.S.INV(RAND()))</f>
        <v/>
      </c>
    </row>
    <row r="8482">
      <c r="F8482">
        <f>F8481+1</f>
        <v/>
      </c>
      <c r="G8482" s="92">
        <f>EXP($C$12+$C$8*_xlfn.NORM.S.INV(RAND()))</f>
        <v/>
      </c>
    </row>
    <row r="8483">
      <c r="F8483">
        <f>F8482+1</f>
        <v/>
      </c>
      <c r="G8483" s="92">
        <f>EXP($C$12+$C$8*_xlfn.NORM.S.INV(RAND()))</f>
        <v/>
      </c>
    </row>
    <row r="8484">
      <c r="F8484">
        <f>F8483+1</f>
        <v/>
      </c>
      <c r="G8484" s="92">
        <f>EXP($C$12+$C$8*_xlfn.NORM.S.INV(RAND()))</f>
        <v/>
      </c>
    </row>
    <row r="8485">
      <c r="F8485">
        <f>F8484+1</f>
        <v/>
      </c>
      <c r="G8485" s="92">
        <f>EXP($C$12+$C$8*_xlfn.NORM.S.INV(RAND()))</f>
        <v/>
      </c>
    </row>
    <row r="8486">
      <c r="F8486">
        <f>F8485+1</f>
        <v/>
      </c>
      <c r="G8486" s="92">
        <f>EXP($C$12+$C$8*_xlfn.NORM.S.INV(RAND()))</f>
        <v/>
      </c>
    </row>
    <row r="8487">
      <c r="F8487">
        <f>F8486+1</f>
        <v/>
      </c>
      <c r="G8487" s="92">
        <f>EXP($C$12+$C$8*_xlfn.NORM.S.INV(RAND()))</f>
        <v/>
      </c>
    </row>
    <row r="8488">
      <c r="F8488">
        <f>F8487+1</f>
        <v/>
      </c>
      <c r="G8488" s="92">
        <f>EXP($C$12+$C$8*_xlfn.NORM.S.INV(RAND()))</f>
        <v/>
      </c>
    </row>
    <row r="8489">
      <c r="F8489">
        <f>F8488+1</f>
        <v/>
      </c>
      <c r="G8489" s="92">
        <f>EXP($C$12+$C$8*_xlfn.NORM.S.INV(RAND()))</f>
        <v/>
      </c>
    </row>
    <row r="8490">
      <c r="F8490">
        <f>F8489+1</f>
        <v/>
      </c>
      <c r="G8490" s="92">
        <f>EXP($C$12+$C$8*_xlfn.NORM.S.INV(RAND()))</f>
        <v/>
      </c>
    </row>
    <row r="8491">
      <c r="F8491">
        <f>F8490+1</f>
        <v/>
      </c>
      <c r="G8491" s="92">
        <f>EXP($C$12+$C$8*_xlfn.NORM.S.INV(RAND()))</f>
        <v/>
      </c>
    </row>
    <row r="8492">
      <c r="F8492">
        <f>F8491+1</f>
        <v/>
      </c>
      <c r="G8492" s="92">
        <f>EXP($C$12+$C$8*_xlfn.NORM.S.INV(RAND()))</f>
        <v/>
      </c>
    </row>
    <row r="8493">
      <c r="F8493">
        <f>F8492+1</f>
        <v/>
      </c>
      <c r="G8493" s="92">
        <f>EXP($C$12+$C$8*_xlfn.NORM.S.INV(RAND()))</f>
        <v/>
      </c>
    </row>
    <row r="8494">
      <c r="F8494">
        <f>F8493+1</f>
        <v/>
      </c>
      <c r="G8494" s="92">
        <f>EXP($C$12+$C$8*_xlfn.NORM.S.INV(RAND()))</f>
        <v/>
      </c>
    </row>
    <row r="8495">
      <c r="F8495">
        <f>F8494+1</f>
        <v/>
      </c>
      <c r="G8495" s="92">
        <f>EXP($C$12+$C$8*_xlfn.NORM.S.INV(RAND()))</f>
        <v/>
      </c>
    </row>
    <row r="8496">
      <c r="F8496">
        <f>F8495+1</f>
        <v/>
      </c>
      <c r="G8496" s="92">
        <f>EXP($C$12+$C$8*_xlfn.NORM.S.INV(RAND()))</f>
        <v/>
      </c>
    </row>
    <row r="8497">
      <c r="F8497">
        <f>F8496+1</f>
        <v/>
      </c>
      <c r="G8497" s="92">
        <f>EXP($C$12+$C$8*_xlfn.NORM.S.INV(RAND()))</f>
        <v/>
      </c>
    </row>
    <row r="8498">
      <c r="F8498">
        <f>F8497+1</f>
        <v/>
      </c>
      <c r="G8498" s="92">
        <f>EXP($C$12+$C$8*_xlfn.NORM.S.INV(RAND()))</f>
        <v/>
      </c>
    </row>
    <row r="8499">
      <c r="F8499">
        <f>F8498+1</f>
        <v/>
      </c>
      <c r="G8499" s="92">
        <f>EXP($C$12+$C$8*_xlfn.NORM.S.INV(RAND()))</f>
        <v/>
      </c>
    </row>
    <row r="8500">
      <c r="F8500">
        <f>F8499+1</f>
        <v/>
      </c>
      <c r="G8500" s="92">
        <f>EXP($C$12+$C$8*_xlfn.NORM.S.INV(RAND()))</f>
        <v/>
      </c>
    </row>
    <row r="8501">
      <c r="F8501">
        <f>F8500+1</f>
        <v/>
      </c>
      <c r="G8501" s="92">
        <f>EXP($C$12+$C$8*_xlfn.NORM.S.INV(RAND()))</f>
        <v/>
      </c>
    </row>
    <row r="8502">
      <c r="F8502">
        <f>F8501+1</f>
        <v/>
      </c>
      <c r="G8502" s="92">
        <f>EXP($C$12+$C$8*_xlfn.NORM.S.INV(RAND()))</f>
        <v/>
      </c>
    </row>
    <row r="8503">
      <c r="F8503">
        <f>F8502+1</f>
        <v/>
      </c>
      <c r="G8503" s="92">
        <f>EXP($C$12+$C$8*_xlfn.NORM.S.INV(RAND()))</f>
        <v/>
      </c>
    </row>
    <row r="8504">
      <c r="F8504">
        <f>F8503+1</f>
        <v/>
      </c>
      <c r="G8504" s="92">
        <f>EXP($C$12+$C$8*_xlfn.NORM.S.INV(RAND()))</f>
        <v/>
      </c>
    </row>
    <row r="8505">
      <c r="F8505">
        <f>F8504+1</f>
        <v/>
      </c>
      <c r="G8505" s="92">
        <f>EXP($C$12+$C$8*_xlfn.NORM.S.INV(RAND()))</f>
        <v/>
      </c>
    </row>
    <row r="8506">
      <c r="F8506">
        <f>F8505+1</f>
        <v/>
      </c>
      <c r="G8506" s="92">
        <f>EXP($C$12+$C$8*_xlfn.NORM.S.INV(RAND()))</f>
        <v/>
      </c>
    </row>
    <row r="8507">
      <c r="F8507">
        <f>F8506+1</f>
        <v/>
      </c>
      <c r="G8507" s="92">
        <f>EXP($C$12+$C$8*_xlfn.NORM.S.INV(RAND()))</f>
        <v/>
      </c>
    </row>
    <row r="8508">
      <c r="F8508">
        <f>F8507+1</f>
        <v/>
      </c>
      <c r="G8508" s="92">
        <f>EXP($C$12+$C$8*_xlfn.NORM.S.INV(RAND()))</f>
        <v/>
      </c>
    </row>
    <row r="8509">
      <c r="F8509">
        <f>F8508+1</f>
        <v/>
      </c>
      <c r="G8509" s="92">
        <f>EXP($C$12+$C$8*_xlfn.NORM.S.INV(RAND()))</f>
        <v/>
      </c>
    </row>
    <row r="8510">
      <c r="F8510">
        <f>F8509+1</f>
        <v/>
      </c>
      <c r="G8510" s="92">
        <f>EXP($C$12+$C$8*_xlfn.NORM.S.INV(RAND()))</f>
        <v/>
      </c>
    </row>
    <row r="8511">
      <c r="F8511">
        <f>F8510+1</f>
        <v/>
      </c>
      <c r="G8511" s="92">
        <f>EXP($C$12+$C$8*_xlfn.NORM.S.INV(RAND()))</f>
        <v/>
      </c>
    </row>
    <row r="8512">
      <c r="F8512">
        <f>F8511+1</f>
        <v/>
      </c>
      <c r="G8512" s="92">
        <f>EXP($C$12+$C$8*_xlfn.NORM.S.INV(RAND()))</f>
        <v/>
      </c>
    </row>
    <row r="8513">
      <c r="F8513">
        <f>F8512+1</f>
        <v/>
      </c>
      <c r="G8513" s="92">
        <f>EXP($C$12+$C$8*_xlfn.NORM.S.INV(RAND()))</f>
        <v/>
      </c>
    </row>
    <row r="8514">
      <c r="F8514">
        <f>F8513+1</f>
        <v/>
      </c>
      <c r="G8514" s="92">
        <f>EXP($C$12+$C$8*_xlfn.NORM.S.INV(RAND()))</f>
        <v/>
      </c>
    </row>
    <row r="8515">
      <c r="F8515">
        <f>F8514+1</f>
        <v/>
      </c>
      <c r="G8515" s="92">
        <f>EXP($C$12+$C$8*_xlfn.NORM.S.INV(RAND()))</f>
        <v/>
      </c>
    </row>
    <row r="8516">
      <c r="F8516">
        <f>F8515+1</f>
        <v/>
      </c>
      <c r="G8516" s="92">
        <f>EXP($C$12+$C$8*_xlfn.NORM.S.INV(RAND()))</f>
        <v/>
      </c>
    </row>
    <row r="8517">
      <c r="F8517">
        <f>F8516+1</f>
        <v/>
      </c>
      <c r="G8517" s="92">
        <f>EXP($C$12+$C$8*_xlfn.NORM.S.INV(RAND()))</f>
        <v/>
      </c>
    </row>
    <row r="8518">
      <c r="F8518">
        <f>F8517+1</f>
        <v/>
      </c>
      <c r="G8518" s="92">
        <f>EXP($C$12+$C$8*_xlfn.NORM.S.INV(RAND()))</f>
        <v/>
      </c>
    </row>
    <row r="8519">
      <c r="F8519">
        <f>F8518+1</f>
        <v/>
      </c>
      <c r="G8519" s="92">
        <f>EXP($C$12+$C$8*_xlfn.NORM.S.INV(RAND()))</f>
        <v/>
      </c>
    </row>
    <row r="8520">
      <c r="F8520">
        <f>F8519+1</f>
        <v/>
      </c>
      <c r="G8520" s="92">
        <f>EXP($C$12+$C$8*_xlfn.NORM.S.INV(RAND()))</f>
        <v/>
      </c>
    </row>
    <row r="8521">
      <c r="F8521">
        <f>F8520+1</f>
        <v/>
      </c>
      <c r="G8521" s="92">
        <f>EXP($C$12+$C$8*_xlfn.NORM.S.INV(RAND()))</f>
        <v/>
      </c>
    </row>
    <row r="8522">
      <c r="F8522">
        <f>F8521+1</f>
        <v/>
      </c>
      <c r="G8522" s="92">
        <f>EXP($C$12+$C$8*_xlfn.NORM.S.INV(RAND()))</f>
        <v/>
      </c>
    </row>
    <row r="8523">
      <c r="F8523">
        <f>F8522+1</f>
        <v/>
      </c>
      <c r="G8523" s="92">
        <f>EXP($C$12+$C$8*_xlfn.NORM.S.INV(RAND()))</f>
        <v/>
      </c>
    </row>
    <row r="8524">
      <c r="F8524">
        <f>F8523+1</f>
        <v/>
      </c>
      <c r="G8524" s="92">
        <f>EXP($C$12+$C$8*_xlfn.NORM.S.INV(RAND()))</f>
        <v/>
      </c>
    </row>
    <row r="8525">
      <c r="F8525">
        <f>F8524+1</f>
        <v/>
      </c>
      <c r="G8525" s="92">
        <f>EXP($C$12+$C$8*_xlfn.NORM.S.INV(RAND()))</f>
        <v/>
      </c>
    </row>
    <row r="8526">
      <c r="F8526">
        <f>F8525+1</f>
        <v/>
      </c>
      <c r="G8526" s="92">
        <f>EXP($C$12+$C$8*_xlfn.NORM.S.INV(RAND()))</f>
        <v/>
      </c>
    </row>
    <row r="8527">
      <c r="F8527">
        <f>F8526+1</f>
        <v/>
      </c>
      <c r="G8527" s="92">
        <f>EXP($C$12+$C$8*_xlfn.NORM.S.INV(RAND()))</f>
        <v/>
      </c>
    </row>
    <row r="8528">
      <c r="F8528">
        <f>F8527+1</f>
        <v/>
      </c>
      <c r="G8528" s="92">
        <f>EXP($C$12+$C$8*_xlfn.NORM.S.INV(RAND()))</f>
        <v/>
      </c>
    </row>
    <row r="8529">
      <c r="F8529">
        <f>F8528+1</f>
        <v/>
      </c>
      <c r="G8529" s="92">
        <f>EXP($C$12+$C$8*_xlfn.NORM.S.INV(RAND()))</f>
        <v/>
      </c>
    </row>
    <row r="8530">
      <c r="F8530">
        <f>F8529+1</f>
        <v/>
      </c>
      <c r="G8530" s="92">
        <f>EXP($C$12+$C$8*_xlfn.NORM.S.INV(RAND()))</f>
        <v/>
      </c>
    </row>
    <row r="8531">
      <c r="F8531">
        <f>F8530+1</f>
        <v/>
      </c>
      <c r="G8531" s="92">
        <f>EXP($C$12+$C$8*_xlfn.NORM.S.INV(RAND()))</f>
        <v/>
      </c>
    </row>
    <row r="8532">
      <c r="F8532">
        <f>F8531+1</f>
        <v/>
      </c>
      <c r="G8532" s="92">
        <f>EXP($C$12+$C$8*_xlfn.NORM.S.INV(RAND()))</f>
        <v/>
      </c>
    </row>
    <row r="8533">
      <c r="F8533">
        <f>F8532+1</f>
        <v/>
      </c>
      <c r="G8533" s="92">
        <f>EXP($C$12+$C$8*_xlfn.NORM.S.INV(RAND()))</f>
        <v/>
      </c>
    </row>
    <row r="8534">
      <c r="F8534">
        <f>F8533+1</f>
        <v/>
      </c>
      <c r="G8534" s="92">
        <f>EXP($C$12+$C$8*_xlfn.NORM.S.INV(RAND()))</f>
        <v/>
      </c>
    </row>
    <row r="8535">
      <c r="F8535">
        <f>F8534+1</f>
        <v/>
      </c>
      <c r="G8535" s="92">
        <f>EXP($C$12+$C$8*_xlfn.NORM.S.INV(RAND()))</f>
        <v/>
      </c>
    </row>
    <row r="8536">
      <c r="F8536">
        <f>F8535+1</f>
        <v/>
      </c>
      <c r="G8536" s="92">
        <f>EXP($C$12+$C$8*_xlfn.NORM.S.INV(RAND()))</f>
        <v/>
      </c>
    </row>
    <row r="8537">
      <c r="F8537">
        <f>F8536+1</f>
        <v/>
      </c>
      <c r="G8537" s="92">
        <f>EXP($C$12+$C$8*_xlfn.NORM.S.INV(RAND()))</f>
        <v/>
      </c>
    </row>
    <row r="8538">
      <c r="F8538">
        <f>F8537+1</f>
        <v/>
      </c>
      <c r="G8538" s="92">
        <f>EXP($C$12+$C$8*_xlfn.NORM.S.INV(RAND()))</f>
        <v/>
      </c>
    </row>
    <row r="8539">
      <c r="F8539">
        <f>F8538+1</f>
        <v/>
      </c>
      <c r="G8539" s="92">
        <f>EXP($C$12+$C$8*_xlfn.NORM.S.INV(RAND()))</f>
        <v/>
      </c>
    </row>
    <row r="8540">
      <c r="F8540">
        <f>F8539+1</f>
        <v/>
      </c>
      <c r="G8540" s="92">
        <f>EXP($C$12+$C$8*_xlfn.NORM.S.INV(RAND()))</f>
        <v/>
      </c>
    </row>
    <row r="8541">
      <c r="F8541">
        <f>F8540+1</f>
        <v/>
      </c>
      <c r="G8541" s="92">
        <f>EXP($C$12+$C$8*_xlfn.NORM.S.INV(RAND()))</f>
        <v/>
      </c>
    </row>
    <row r="8542">
      <c r="F8542">
        <f>F8541+1</f>
        <v/>
      </c>
      <c r="G8542" s="92">
        <f>EXP($C$12+$C$8*_xlfn.NORM.S.INV(RAND()))</f>
        <v/>
      </c>
    </row>
    <row r="8543">
      <c r="F8543">
        <f>F8542+1</f>
        <v/>
      </c>
      <c r="G8543" s="92">
        <f>EXP($C$12+$C$8*_xlfn.NORM.S.INV(RAND()))</f>
        <v/>
      </c>
    </row>
    <row r="8544">
      <c r="F8544">
        <f>F8543+1</f>
        <v/>
      </c>
      <c r="G8544" s="92">
        <f>EXP($C$12+$C$8*_xlfn.NORM.S.INV(RAND()))</f>
        <v/>
      </c>
    </row>
    <row r="8545">
      <c r="F8545">
        <f>F8544+1</f>
        <v/>
      </c>
      <c r="G8545" s="92">
        <f>EXP($C$12+$C$8*_xlfn.NORM.S.INV(RAND()))</f>
        <v/>
      </c>
    </row>
    <row r="8546">
      <c r="F8546">
        <f>F8545+1</f>
        <v/>
      </c>
      <c r="G8546" s="92">
        <f>EXP($C$12+$C$8*_xlfn.NORM.S.INV(RAND()))</f>
        <v/>
      </c>
    </row>
    <row r="8547">
      <c r="F8547">
        <f>F8546+1</f>
        <v/>
      </c>
      <c r="G8547" s="92">
        <f>EXP($C$12+$C$8*_xlfn.NORM.S.INV(RAND()))</f>
        <v/>
      </c>
    </row>
    <row r="8548">
      <c r="F8548">
        <f>F8547+1</f>
        <v/>
      </c>
      <c r="G8548" s="92">
        <f>EXP($C$12+$C$8*_xlfn.NORM.S.INV(RAND()))</f>
        <v/>
      </c>
    </row>
    <row r="8549">
      <c r="F8549">
        <f>F8548+1</f>
        <v/>
      </c>
      <c r="G8549" s="92">
        <f>EXP($C$12+$C$8*_xlfn.NORM.S.INV(RAND()))</f>
        <v/>
      </c>
    </row>
    <row r="8550">
      <c r="F8550">
        <f>F8549+1</f>
        <v/>
      </c>
      <c r="G8550" s="92">
        <f>EXP($C$12+$C$8*_xlfn.NORM.S.INV(RAND()))</f>
        <v/>
      </c>
    </row>
    <row r="8551">
      <c r="F8551">
        <f>F8550+1</f>
        <v/>
      </c>
      <c r="G8551" s="92">
        <f>EXP($C$12+$C$8*_xlfn.NORM.S.INV(RAND()))</f>
        <v/>
      </c>
    </row>
    <row r="8552">
      <c r="F8552">
        <f>F8551+1</f>
        <v/>
      </c>
      <c r="G8552" s="92">
        <f>EXP($C$12+$C$8*_xlfn.NORM.S.INV(RAND()))</f>
        <v/>
      </c>
    </row>
    <row r="8553">
      <c r="F8553">
        <f>F8552+1</f>
        <v/>
      </c>
      <c r="G8553" s="92">
        <f>EXP($C$12+$C$8*_xlfn.NORM.S.INV(RAND()))</f>
        <v/>
      </c>
    </row>
    <row r="8554">
      <c r="F8554">
        <f>F8553+1</f>
        <v/>
      </c>
      <c r="G8554" s="92">
        <f>EXP($C$12+$C$8*_xlfn.NORM.S.INV(RAND()))</f>
        <v/>
      </c>
    </row>
    <row r="8555">
      <c r="F8555">
        <f>F8554+1</f>
        <v/>
      </c>
      <c r="G8555" s="92">
        <f>EXP($C$12+$C$8*_xlfn.NORM.S.INV(RAND()))</f>
        <v/>
      </c>
    </row>
    <row r="8556">
      <c r="F8556">
        <f>F8555+1</f>
        <v/>
      </c>
      <c r="G8556" s="92">
        <f>EXP($C$12+$C$8*_xlfn.NORM.S.INV(RAND()))</f>
        <v/>
      </c>
    </row>
    <row r="8557">
      <c r="F8557">
        <f>F8556+1</f>
        <v/>
      </c>
      <c r="G8557" s="92">
        <f>EXP($C$12+$C$8*_xlfn.NORM.S.INV(RAND()))</f>
        <v/>
      </c>
    </row>
    <row r="8558">
      <c r="F8558">
        <f>F8557+1</f>
        <v/>
      </c>
      <c r="G8558" s="92">
        <f>EXP($C$12+$C$8*_xlfn.NORM.S.INV(RAND()))</f>
        <v/>
      </c>
    </row>
    <row r="8559">
      <c r="F8559">
        <f>F8558+1</f>
        <v/>
      </c>
      <c r="G8559" s="92">
        <f>EXP($C$12+$C$8*_xlfn.NORM.S.INV(RAND()))</f>
        <v/>
      </c>
    </row>
    <row r="8560">
      <c r="F8560">
        <f>F8559+1</f>
        <v/>
      </c>
      <c r="G8560" s="92">
        <f>EXP($C$12+$C$8*_xlfn.NORM.S.INV(RAND()))</f>
        <v/>
      </c>
    </row>
    <row r="8561">
      <c r="F8561">
        <f>F8560+1</f>
        <v/>
      </c>
      <c r="G8561" s="92">
        <f>EXP($C$12+$C$8*_xlfn.NORM.S.INV(RAND()))</f>
        <v/>
      </c>
    </row>
    <row r="8562">
      <c r="F8562">
        <f>F8561+1</f>
        <v/>
      </c>
      <c r="G8562" s="92">
        <f>EXP($C$12+$C$8*_xlfn.NORM.S.INV(RAND()))</f>
        <v/>
      </c>
    </row>
    <row r="8563">
      <c r="F8563">
        <f>F8562+1</f>
        <v/>
      </c>
      <c r="G8563" s="92">
        <f>EXP($C$12+$C$8*_xlfn.NORM.S.INV(RAND()))</f>
        <v/>
      </c>
    </row>
    <row r="8564">
      <c r="F8564">
        <f>F8563+1</f>
        <v/>
      </c>
      <c r="G8564" s="92">
        <f>EXP($C$12+$C$8*_xlfn.NORM.S.INV(RAND()))</f>
        <v/>
      </c>
    </row>
    <row r="8565">
      <c r="F8565">
        <f>F8564+1</f>
        <v/>
      </c>
      <c r="G8565" s="92">
        <f>EXP($C$12+$C$8*_xlfn.NORM.S.INV(RAND()))</f>
        <v/>
      </c>
    </row>
    <row r="8566">
      <c r="F8566">
        <f>F8565+1</f>
        <v/>
      </c>
      <c r="G8566" s="92">
        <f>EXP($C$12+$C$8*_xlfn.NORM.S.INV(RAND()))</f>
        <v/>
      </c>
    </row>
    <row r="8567">
      <c r="F8567">
        <f>F8566+1</f>
        <v/>
      </c>
      <c r="G8567" s="92">
        <f>EXP($C$12+$C$8*_xlfn.NORM.S.INV(RAND()))</f>
        <v/>
      </c>
    </row>
    <row r="8568">
      <c r="F8568">
        <f>F8567+1</f>
        <v/>
      </c>
      <c r="G8568" s="92">
        <f>EXP($C$12+$C$8*_xlfn.NORM.S.INV(RAND()))</f>
        <v/>
      </c>
    </row>
    <row r="8569">
      <c r="F8569">
        <f>F8568+1</f>
        <v/>
      </c>
      <c r="G8569" s="92">
        <f>EXP($C$12+$C$8*_xlfn.NORM.S.INV(RAND()))</f>
        <v/>
      </c>
    </row>
    <row r="8570">
      <c r="F8570">
        <f>F8569+1</f>
        <v/>
      </c>
      <c r="G8570" s="92">
        <f>EXP($C$12+$C$8*_xlfn.NORM.S.INV(RAND()))</f>
        <v/>
      </c>
    </row>
    <row r="8571">
      <c r="F8571">
        <f>F8570+1</f>
        <v/>
      </c>
      <c r="G8571" s="92">
        <f>EXP($C$12+$C$8*_xlfn.NORM.S.INV(RAND()))</f>
        <v/>
      </c>
    </row>
    <row r="8572">
      <c r="F8572">
        <f>F8571+1</f>
        <v/>
      </c>
      <c r="G8572" s="92">
        <f>EXP($C$12+$C$8*_xlfn.NORM.S.INV(RAND()))</f>
        <v/>
      </c>
    </row>
    <row r="8573">
      <c r="F8573">
        <f>F8572+1</f>
        <v/>
      </c>
      <c r="G8573" s="92">
        <f>EXP($C$12+$C$8*_xlfn.NORM.S.INV(RAND()))</f>
        <v/>
      </c>
    </row>
    <row r="8574">
      <c r="F8574">
        <f>F8573+1</f>
        <v/>
      </c>
      <c r="G8574" s="92">
        <f>EXP($C$12+$C$8*_xlfn.NORM.S.INV(RAND()))</f>
        <v/>
      </c>
    </row>
    <row r="8575">
      <c r="F8575">
        <f>F8574+1</f>
        <v/>
      </c>
      <c r="G8575" s="92">
        <f>EXP($C$12+$C$8*_xlfn.NORM.S.INV(RAND()))</f>
        <v/>
      </c>
    </row>
    <row r="8576">
      <c r="F8576">
        <f>F8575+1</f>
        <v/>
      </c>
      <c r="G8576" s="92">
        <f>EXP($C$12+$C$8*_xlfn.NORM.S.INV(RAND()))</f>
        <v/>
      </c>
    </row>
    <row r="8577">
      <c r="F8577">
        <f>F8576+1</f>
        <v/>
      </c>
      <c r="G8577" s="92">
        <f>EXP($C$12+$C$8*_xlfn.NORM.S.INV(RAND()))</f>
        <v/>
      </c>
    </row>
    <row r="8578">
      <c r="F8578">
        <f>F8577+1</f>
        <v/>
      </c>
      <c r="G8578" s="92">
        <f>EXP($C$12+$C$8*_xlfn.NORM.S.INV(RAND()))</f>
        <v/>
      </c>
    </row>
    <row r="8579">
      <c r="F8579">
        <f>F8578+1</f>
        <v/>
      </c>
      <c r="G8579" s="92">
        <f>EXP($C$12+$C$8*_xlfn.NORM.S.INV(RAND()))</f>
        <v/>
      </c>
    </row>
    <row r="8580">
      <c r="F8580">
        <f>F8579+1</f>
        <v/>
      </c>
      <c r="G8580" s="92">
        <f>EXP($C$12+$C$8*_xlfn.NORM.S.INV(RAND()))</f>
        <v/>
      </c>
    </row>
    <row r="8581">
      <c r="F8581">
        <f>F8580+1</f>
        <v/>
      </c>
      <c r="G8581" s="92">
        <f>EXP($C$12+$C$8*_xlfn.NORM.S.INV(RAND()))</f>
        <v/>
      </c>
    </row>
    <row r="8582">
      <c r="F8582">
        <f>F8581+1</f>
        <v/>
      </c>
      <c r="G8582" s="92">
        <f>EXP($C$12+$C$8*_xlfn.NORM.S.INV(RAND()))</f>
        <v/>
      </c>
    </row>
    <row r="8583">
      <c r="F8583">
        <f>F8582+1</f>
        <v/>
      </c>
      <c r="G8583" s="92">
        <f>EXP($C$12+$C$8*_xlfn.NORM.S.INV(RAND()))</f>
        <v/>
      </c>
    </row>
    <row r="8584">
      <c r="F8584">
        <f>F8583+1</f>
        <v/>
      </c>
      <c r="G8584" s="92">
        <f>EXP($C$12+$C$8*_xlfn.NORM.S.INV(RAND()))</f>
        <v/>
      </c>
    </row>
    <row r="8585">
      <c r="F8585">
        <f>F8584+1</f>
        <v/>
      </c>
      <c r="G8585" s="92">
        <f>EXP($C$12+$C$8*_xlfn.NORM.S.INV(RAND()))</f>
        <v/>
      </c>
    </row>
    <row r="8586">
      <c r="F8586">
        <f>F8585+1</f>
        <v/>
      </c>
      <c r="G8586" s="92">
        <f>EXP($C$12+$C$8*_xlfn.NORM.S.INV(RAND()))</f>
        <v/>
      </c>
    </row>
    <row r="8587">
      <c r="F8587">
        <f>F8586+1</f>
        <v/>
      </c>
      <c r="G8587" s="92">
        <f>EXP($C$12+$C$8*_xlfn.NORM.S.INV(RAND()))</f>
        <v/>
      </c>
    </row>
    <row r="8588">
      <c r="F8588">
        <f>F8587+1</f>
        <v/>
      </c>
      <c r="G8588" s="92">
        <f>EXP($C$12+$C$8*_xlfn.NORM.S.INV(RAND()))</f>
        <v/>
      </c>
    </row>
    <row r="8589">
      <c r="F8589">
        <f>F8588+1</f>
        <v/>
      </c>
      <c r="G8589" s="92">
        <f>EXP($C$12+$C$8*_xlfn.NORM.S.INV(RAND()))</f>
        <v/>
      </c>
    </row>
    <row r="8590">
      <c r="F8590">
        <f>F8589+1</f>
        <v/>
      </c>
      <c r="G8590" s="92">
        <f>EXP($C$12+$C$8*_xlfn.NORM.S.INV(RAND()))</f>
        <v/>
      </c>
    </row>
    <row r="8591">
      <c r="F8591">
        <f>F8590+1</f>
        <v/>
      </c>
      <c r="G8591" s="92">
        <f>EXP($C$12+$C$8*_xlfn.NORM.S.INV(RAND()))</f>
        <v/>
      </c>
    </row>
    <row r="8592">
      <c r="F8592">
        <f>F8591+1</f>
        <v/>
      </c>
      <c r="G8592" s="92">
        <f>EXP($C$12+$C$8*_xlfn.NORM.S.INV(RAND()))</f>
        <v/>
      </c>
    </row>
    <row r="8593">
      <c r="F8593">
        <f>F8592+1</f>
        <v/>
      </c>
      <c r="G8593" s="92">
        <f>EXP($C$12+$C$8*_xlfn.NORM.S.INV(RAND()))</f>
        <v/>
      </c>
    </row>
    <row r="8594">
      <c r="F8594">
        <f>F8593+1</f>
        <v/>
      </c>
      <c r="G8594" s="92">
        <f>EXP($C$12+$C$8*_xlfn.NORM.S.INV(RAND()))</f>
        <v/>
      </c>
    </row>
    <row r="8595">
      <c r="F8595">
        <f>F8594+1</f>
        <v/>
      </c>
      <c r="G8595" s="92">
        <f>EXP($C$12+$C$8*_xlfn.NORM.S.INV(RAND()))</f>
        <v/>
      </c>
    </row>
    <row r="8596">
      <c r="F8596">
        <f>F8595+1</f>
        <v/>
      </c>
      <c r="G8596" s="92">
        <f>EXP($C$12+$C$8*_xlfn.NORM.S.INV(RAND()))</f>
        <v/>
      </c>
    </row>
    <row r="8597">
      <c r="F8597">
        <f>F8596+1</f>
        <v/>
      </c>
      <c r="G8597" s="92">
        <f>EXP($C$12+$C$8*_xlfn.NORM.S.INV(RAND()))</f>
        <v/>
      </c>
    </row>
    <row r="8598">
      <c r="F8598">
        <f>F8597+1</f>
        <v/>
      </c>
      <c r="G8598" s="92">
        <f>EXP($C$12+$C$8*_xlfn.NORM.S.INV(RAND()))</f>
        <v/>
      </c>
    </row>
    <row r="8599">
      <c r="F8599">
        <f>F8598+1</f>
        <v/>
      </c>
      <c r="G8599" s="92">
        <f>EXP($C$12+$C$8*_xlfn.NORM.S.INV(RAND()))</f>
        <v/>
      </c>
    </row>
    <row r="8600">
      <c r="F8600">
        <f>F8599+1</f>
        <v/>
      </c>
      <c r="G8600" s="92">
        <f>EXP($C$12+$C$8*_xlfn.NORM.S.INV(RAND()))</f>
        <v/>
      </c>
    </row>
    <row r="8601">
      <c r="F8601">
        <f>F8600+1</f>
        <v/>
      </c>
      <c r="G8601" s="92">
        <f>EXP($C$12+$C$8*_xlfn.NORM.S.INV(RAND()))</f>
        <v/>
      </c>
    </row>
    <row r="8602">
      <c r="F8602">
        <f>F8601+1</f>
        <v/>
      </c>
      <c r="G8602" s="92">
        <f>EXP($C$12+$C$8*_xlfn.NORM.S.INV(RAND()))</f>
        <v/>
      </c>
    </row>
    <row r="8603">
      <c r="F8603">
        <f>F8602+1</f>
        <v/>
      </c>
      <c r="G8603" s="92">
        <f>EXP($C$12+$C$8*_xlfn.NORM.S.INV(RAND()))</f>
        <v/>
      </c>
    </row>
    <row r="8604">
      <c r="F8604">
        <f>F8603+1</f>
        <v/>
      </c>
      <c r="G8604" s="92">
        <f>EXP($C$12+$C$8*_xlfn.NORM.S.INV(RAND()))</f>
        <v/>
      </c>
    </row>
    <row r="8605">
      <c r="F8605">
        <f>F8604+1</f>
        <v/>
      </c>
      <c r="G8605" s="92">
        <f>EXP($C$12+$C$8*_xlfn.NORM.S.INV(RAND()))</f>
        <v/>
      </c>
    </row>
    <row r="8606">
      <c r="F8606">
        <f>F8605+1</f>
        <v/>
      </c>
      <c r="G8606" s="92">
        <f>EXP($C$12+$C$8*_xlfn.NORM.S.INV(RAND()))</f>
        <v/>
      </c>
    </row>
    <row r="8607">
      <c r="F8607">
        <f>F8606+1</f>
        <v/>
      </c>
      <c r="G8607" s="92">
        <f>EXP($C$12+$C$8*_xlfn.NORM.S.INV(RAND()))</f>
        <v/>
      </c>
    </row>
    <row r="8608">
      <c r="F8608">
        <f>F8607+1</f>
        <v/>
      </c>
      <c r="G8608" s="92">
        <f>EXP($C$12+$C$8*_xlfn.NORM.S.INV(RAND()))</f>
        <v/>
      </c>
    </row>
    <row r="8609">
      <c r="F8609">
        <f>F8608+1</f>
        <v/>
      </c>
      <c r="G8609" s="92">
        <f>EXP($C$12+$C$8*_xlfn.NORM.S.INV(RAND()))</f>
        <v/>
      </c>
    </row>
    <row r="8610">
      <c r="F8610">
        <f>F8609+1</f>
        <v/>
      </c>
      <c r="G8610" s="92">
        <f>EXP($C$12+$C$8*_xlfn.NORM.S.INV(RAND()))</f>
        <v/>
      </c>
    </row>
    <row r="8611">
      <c r="F8611">
        <f>F8610+1</f>
        <v/>
      </c>
      <c r="G8611" s="92">
        <f>EXP($C$12+$C$8*_xlfn.NORM.S.INV(RAND()))</f>
        <v/>
      </c>
    </row>
    <row r="8612">
      <c r="F8612">
        <f>F8611+1</f>
        <v/>
      </c>
      <c r="G8612" s="92">
        <f>EXP($C$12+$C$8*_xlfn.NORM.S.INV(RAND()))</f>
        <v/>
      </c>
    </row>
    <row r="8613">
      <c r="F8613">
        <f>F8612+1</f>
        <v/>
      </c>
      <c r="G8613" s="92">
        <f>EXP($C$12+$C$8*_xlfn.NORM.S.INV(RAND()))</f>
        <v/>
      </c>
    </row>
    <row r="8614">
      <c r="F8614">
        <f>F8613+1</f>
        <v/>
      </c>
      <c r="G8614" s="92">
        <f>EXP($C$12+$C$8*_xlfn.NORM.S.INV(RAND()))</f>
        <v/>
      </c>
    </row>
    <row r="8615">
      <c r="F8615">
        <f>F8614+1</f>
        <v/>
      </c>
      <c r="G8615" s="92">
        <f>EXP($C$12+$C$8*_xlfn.NORM.S.INV(RAND()))</f>
        <v/>
      </c>
    </row>
    <row r="8616">
      <c r="F8616">
        <f>F8615+1</f>
        <v/>
      </c>
      <c r="G8616" s="92">
        <f>EXP($C$12+$C$8*_xlfn.NORM.S.INV(RAND()))</f>
        <v/>
      </c>
    </row>
    <row r="8617">
      <c r="F8617">
        <f>F8616+1</f>
        <v/>
      </c>
      <c r="G8617" s="92">
        <f>EXP($C$12+$C$8*_xlfn.NORM.S.INV(RAND()))</f>
        <v/>
      </c>
    </row>
    <row r="8618">
      <c r="F8618">
        <f>F8617+1</f>
        <v/>
      </c>
      <c r="G8618" s="92">
        <f>EXP($C$12+$C$8*_xlfn.NORM.S.INV(RAND()))</f>
        <v/>
      </c>
    </row>
    <row r="8619">
      <c r="F8619">
        <f>F8618+1</f>
        <v/>
      </c>
      <c r="G8619" s="92">
        <f>EXP($C$12+$C$8*_xlfn.NORM.S.INV(RAND()))</f>
        <v/>
      </c>
    </row>
    <row r="8620">
      <c r="F8620">
        <f>F8619+1</f>
        <v/>
      </c>
      <c r="G8620" s="92">
        <f>EXP($C$12+$C$8*_xlfn.NORM.S.INV(RAND()))</f>
        <v/>
      </c>
    </row>
    <row r="8621">
      <c r="F8621">
        <f>F8620+1</f>
        <v/>
      </c>
      <c r="G8621" s="92">
        <f>EXP($C$12+$C$8*_xlfn.NORM.S.INV(RAND()))</f>
        <v/>
      </c>
    </row>
    <row r="8622">
      <c r="F8622">
        <f>F8621+1</f>
        <v/>
      </c>
      <c r="G8622" s="92">
        <f>EXP($C$12+$C$8*_xlfn.NORM.S.INV(RAND()))</f>
        <v/>
      </c>
    </row>
    <row r="8623">
      <c r="F8623">
        <f>F8622+1</f>
        <v/>
      </c>
      <c r="G8623" s="92">
        <f>EXP($C$12+$C$8*_xlfn.NORM.S.INV(RAND()))</f>
        <v/>
      </c>
    </row>
    <row r="8624">
      <c r="F8624">
        <f>F8623+1</f>
        <v/>
      </c>
      <c r="G8624" s="92">
        <f>EXP($C$12+$C$8*_xlfn.NORM.S.INV(RAND()))</f>
        <v/>
      </c>
    </row>
    <row r="8625">
      <c r="F8625">
        <f>F8624+1</f>
        <v/>
      </c>
      <c r="G8625" s="92">
        <f>EXP($C$12+$C$8*_xlfn.NORM.S.INV(RAND()))</f>
        <v/>
      </c>
    </row>
    <row r="8626">
      <c r="F8626">
        <f>F8625+1</f>
        <v/>
      </c>
      <c r="G8626" s="92">
        <f>EXP($C$12+$C$8*_xlfn.NORM.S.INV(RAND()))</f>
        <v/>
      </c>
    </row>
    <row r="8627">
      <c r="F8627">
        <f>F8626+1</f>
        <v/>
      </c>
      <c r="G8627" s="92">
        <f>EXP($C$12+$C$8*_xlfn.NORM.S.INV(RAND()))</f>
        <v/>
      </c>
    </row>
    <row r="8628">
      <c r="F8628">
        <f>F8627+1</f>
        <v/>
      </c>
      <c r="G8628" s="92">
        <f>EXP($C$12+$C$8*_xlfn.NORM.S.INV(RAND()))</f>
        <v/>
      </c>
    </row>
    <row r="8629">
      <c r="F8629">
        <f>F8628+1</f>
        <v/>
      </c>
      <c r="G8629" s="92">
        <f>EXP($C$12+$C$8*_xlfn.NORM.S.INV(RAND()))</f>
        <v/>
      </c>
    </row>
    <row r="8630">
      <c r="F8630">
        <f>F8629+1</f>
        <v/>
      </c>
      <c r="G8630" s="92">
        <f>EXP($C$12+$C$8*_xlfn.NORM.S.INV(RAND()))</f>
        <v/>
      </c>
    </row>
    <row r="8631">
      <c r="F8631">
        <f>F8630+1</f>
        <v/>
      </c>
      <c r="G8631" s="92">
        <f>EXP($C$12+$C$8*_xlfn.NORM.S.INV(RAND()))</f>
        <v/>
      </c>
    </row>
    <row r="8632">
      <c r="F8632">
        <f>F8631+1</f>
        <v/>
      </c>
      <c r="G8632" s="92">
        <f>EXP($C$12+$C$8*_xlfn.NORM.S.INV(RAND()))</f>
        <v/>
      </c>
    </row>
    <row r="8633">
      <c r="F8633">
        <f>F8632+1</f>
        <v/>
      </c>
      <c r="G8633" s="92">
        <f>EXP($C$12+$C$8*_xlfn.NORM.S.INV(RAND()))</f>
        <v/>
      </c>
    </row>
    <row r="8634">
      <c r="F8634">
        <f>F8633+1</f>
        <v/>
      </c>
      <c r="G8634" s="92">
        <f>EXP($C$12+$C$8*_xlfn.NORM.S.INV(RAND()))</f>
        <v/>
      </c>
    </row>
    <row r="8635">
      <c r="F8635">
        <f>F8634+1</f>
        <v/>
      </c>
      <c r="G8635" s="92">
        <f>EXP($C$12+$C$8*_xlfn.NORM.S.INV(RAND()))</f>
        <v/>
      </c>
    </row>
    <row r="8636">
      <c r="F8636">
        <f>F8635+1</f>
        <v/>
      </c>
      <c r="G8636" s="92">
        <f>EXP($C$12+$C$8*_xlfn.NORM.S.INV(RAND()))</f>
        <v/>
      </c>
    </row>
    <row r="8637">
      <c r="F8637">
        <f>F8636+1</f>
        <v/>
      </c>
      <c r="G8637" s="92">
        <f>EXP($C$12+$C$8*_xlfn.NORM.S.INV(RAND()))</f>
        <v/>
      </c>
    </row>
    <row r="8638">
      <c r="F8638">
        <f>F8637+1</f>
        <v/>
      </c>
      <c r="G8638" s="92">
        <f>EXP($C$12+$C$8*_xlfn.NORM.S.INV(RAND()))</f>
        <v/>
      </c>
    </row>
    <row r="8639">
      <c r="F8639">
        <f>F8638+1</f>
        <v/>
      </c>
      <c r="G8639" s="92">
        <f>EXP($C$12+$C$8*_xlfn.NORM.S.INV(RAND()))</f>
        <v/>
      </c>
    </row>
    <row r="8640">
      <c r="F8640">
        <f>F8639+1</f>
        <v/>
      </c>
      <c r="G8640" s="92">
        <f>EXP($C$12+$C$8*_xlfn.NORM.S.INV(RAND()))</f>
        <v/>
      </c>
    </row>
    <row r="8641">
      <c r="F8641">
        <f>F8640+1</f>
        <v/>
      </c>
      <c r="G8641" s="92">
        <f>EXP($C$12+$C$8*_xlfn.NORM.S.INV(RAND()))</f>
        <v/>
      </c>
    </row>
    <row r="8642">
      <c r="F8642">
        <f>F8641+1</f>
        <v/>
      </c>
      <c r="G8642" s="92">
        <f>EXP($C$12+$C$8*_xlfn.NORM.S.INV(RAND()))</f>
        <v/>
      </c>
    </row>
    <row r="8643">
      <c r="F8643">
        <f>F8642+1</f>
        <v/>
      </c>
      <c r="G8643" s="92">
        <f>EXP($C$12+$C$8*_xlfn.NORM.S.INV(RAND()))</f>
        <v/>
      </c>
    </row>
    <row r="8644">
      <c r="F8644">
        <f>F8643+1</f>
        <v/>
      </c>
      <c r="G8644" s="92">
        <f>EXP($C$12+$C$8*_xlfn.NORM.S.INV(RAND()))</f>
        <v/>
      </c>
    </row>
    <row r="8645">
      <c r="F8645">
        <f>F8644+1</f>
        <v/>
      </c>
      <c r="G8645" s="92">
        <f>EXP($C$12+$C$8*_xlfn.NORM.S.INV(RAND()))</f>
        <v/>
      </c>
    </row>
    <row r="8646">
      <c r="F8646">
        <f>F8645+1</f>
        <v/>
      </c>
      <c r="G8646" s="92">
        <f>EXP($C$12+$C$8*_xlfn.NORM.S.INV(RAND()))</f>
        <v/>
      </c>
    </row>
    <row r="8647">
      <c r="F8647">
        <f>F8646+1</f>
        <v/>
      </c>
      <c r="G8647" s="92">
        <f>EXP($C$12+$C$8*_xlfn.NORM.S.INV(RAND()))</f>
        <v/>
      </c>
    </row>
    <row r="8648">
      <c r="F8648">
        <f>F8647+1</f>
        <v/>
      </c>
      <c r="G8648" s="92">
        <f>EXP($C$12+$C$8*_xlfn.NORM.S.INV(RAND()))</f>
        <v/>
      </c>
    </row>
    <row r="8649">
      <c r="F8649">
        <f>F8648+1</f>
        <v/>
      </c>
      <c r="G8649" s="92">
        <f>EXP($C$12+$C$8*_xlfn.NORM.S.INV(RAND()))</f>
        <v/>
      </c>
    </row>
    <row r="8650">
      <c r="F8650">
        <f>F8649+1</f>
        <v/>
      </c>
      <c r="G8650" s="92">
        <f>EXP($C$12+$C$8*_xlfn.NORM.S.INV(RAND()))</f>
        <v/>
      </c>
    </row>
    <row r="8651">
      <c r="F8651">
        <f>F8650+1</f>
        <v/>
      </c>
      <c r="G8651" s="92">
        <f>EXP($C$12+$C$8*_xlfn.NORM.S.INV(RAND()))</f>
        <v/>
      </c>
    </row>
    <row r="8652">
      <c r="F8652">
        <f>F8651+1</f>
        <v/>
      </c>
      <c r="G8652" s="92">
        <f>EXP($C$12+$C$8*_xlfn.NORM.S.INV(RAND()))</f>
        <v/>
      </c>
    </row>
    <row r="8653">
      <c r="F8653">
        <f>F8652+1</f>
        <v/>
      </c>
      <c r="G8653" s="92">
        <f>EXP($C$12+$C$8*_xlfn.NORM.S.INV(RAND()))</f>
        <v/>
      </c>
    </row>
    <row r="8654">
      <c r="F8654">
        <f>F8653+1</f>
        <v/>
      </c>
      <c r="G8654" s="92">
        <f>EXP($C$12+$C$8*_xlfn.NORM.S.INV(RAND()))</f>
        <v/>
      </c>
    </row>
    <row r="8655">
      <c r="F8655">
        <f>F8654+1</f>
        <v/>
      </c>
      <c r="G8655" s="92">
        <f>EXP($C$12+$C$8*_xlfn.NORM.S.INV(RAND()))</f>
        <v/>
      </c>
    </row>
    <row r="8656">
      <c r="F8656">
        <f>F8655+1</f>
        <v/>
      </c>
      <c r="G8656" s="92">
        <f>EXP($C$12+$C$8*_xlfn.NORM.S.INV(RAND()))</f>
        <v/>
      </c>
    </row>
    <row r="8657">
      <c r="F8657">
        <f>F8656+1</f>
        <v/>
      </c>
      <c r="G8657" s="92">
        <f>EXP($C$12+$C$8*_xlfn.NORM.S.INV(RAND()))</f>
        <v/>
      </c>
    </row>
    <row r="8658">
      <c r="F8658">
        <f>F8657+1</f>
        <v/>
      </c>
      <c r="G8658" s="92">
        <f>EXP($C$12+$C$8*_xlfn.NORM.S.INV(RAND()))</f>
        <v/>
      </c>
    </row>
    <row r="8659">
      <c r="F8659">
        <f>F8658+1</f>
        <v/>
      </c>
      <c r="G8659" s="92">
        <f>EXP($C$12+$C$8*_xlfn.NORM.S.INV(RAND()))</f>
        <v/>
      </c>
    </row>
    <row r="8660">
      <c r="F8660">
        <f>F8659+1</f>
        <v/>
      </c>
      <c r="G8660" s="92">
        <f>EXP($C$12+$C$8*_xlfn.NORM.S.INV(RAND()))</f>
        <v/>
      </c>
    </row>
    <row r="8661">
      <c r="F8661">
        <f>F8660+1</f>
        <v/>
      </c>
      <c r="G8661" s="92">
        <f>EXP($C$12+$C$8*_xlfn.NORM.S.INV(RAND()))</f>
        <v/>
      </c>
    </row>
    <row r="8662">
      <c r="F8662">
        <f>F8661+1</f>
        <v/>
      </c>
      <c r="G8662" s="92">
        <f>EXP($C$12+$C$8*_xlfn.NORM.S.INV(RAND()))</f>
        <v/>
      </c>
    </row>
    <row r="8663">
      <c r="F8663">
        <f>F8662+1</f>
        <v/>
      </c>
      <c r="G8663" s="92">
        <f>EXP($C$12+$C$8*_xlfn.NORM.S.INV(RAND()))</f>
        <v/>
      </c>
    </row>
    <row r="8664">
      <c r="F8664">
        <f>F8663+1</f>
        <v/>
      </c>
      <c r="G8664" s="92">
        <f>EXP($C$12+$C$8*_xlfn.NORM.S.INV(RAND()))</f>
        <v/>
      </c>
    </row>
    <row r="8665">
      <c r="F8665">
        <f>F8664+1</f>
        <v/>
      </c>
      <c r="G8665" s="92">
        <f>EXP($C$12+$C$8*_xlfn.NORM.S.INV(RAND()))</f>
        <v/>
      </c>
    </row>
    <row r="8666">
      <c r="F8666">
        <f>F8665+1</f>
        <v/>
      </c>
      <c r="G8666" s="92">
        <f>EXP($C$12+$C$8*_xlfn.NORM.S.INV(RAND()))</f>
        <v/>
      </c>
    </row>
    <row r="8667">
      <c r="F8667">
        <f>F8666+1</f>
        <v/>
      </c>
      <c r="G8667" s="92">
        <f>EXP($C$12+$C$8*_xlfn.NORM.S.INV(RAND()))</f>
        <v/>
      </c>
    </row>
    <row r="8668">
      <c r="F8668">
        <f>F8667+1</f>
        <v/>
      </c>
      <c r="G8668" s="92">
        <f>EXP($C$12+$C$8*_xlfn.NORM.S.INV(RAND()))</f>
        <v/>
      </c>
    </row>
    <row r="8669">
      <c r="F8669">
        <f>F8668+1</f>
        <v/>
      </c>
      <c r="G8669" s="92">
        <f>EXP($C$12+$C$8*_xlfn.NORM.S.INV(RAND()))</f>
        <v/>
      </c>
    </row>
    <row r="8670">
      <c r="F8670">
        <f>F8669+1</f>
        <v/>
      </c>
      <c r="G8670" s="92">
        <f>EXP($C$12+$C$8*_xlfn.NORM.S.INV(RAND()))</f>
        <v/>
      </c>
    </row>
    <row r="8671">
      <c r="F8671">
        <f>F8670+1</f>
        <v/>
      </c>
      <c r="G8671" s="92">
        <f>EXP($C$12+$C$8*_xlfn.NORM.S.INV(RAND()))</f>
        <v/>
      </c>
    </row>
    <row r="8672">
      <c r="F8672">
        <f>F8671+1</f>
        <v/>
      </c>
      <c r="G8672" s="92">
        <f>EXP($C$12+$C$8*_xlfn.NORM.S.INV(RAND()))</f>
        <v/>
      </c>
    </row>
    <row r="8673">
      <c r="F8673">
        <f>F8672+1</f>
        <v/>
      </c>
      <c r="G8673" s="92">
        <f>EXP($C$12+$C$8*_xlfn.NORM.S.INV(RAND()))</f>
        <v/>
      </c>
    </row>
    <row r="8674">
      <c r="F8674">
        <f>F8673+1</f>
        <v/>
      </c>
      <c r="G8674" s="92">
        <f>EXP($C$12+$C$8*_xlfn.NORM.S.INV(RAND()))</f>
        <v/>
      </c>
    </row>
    <row r="8675">
      <c r="F8675">
        <f>F8674+1</f>
        <v/>
      </c>
      <c r="G8675" s="92">
        <f>EXP($C$12+$C$8*_xlfn.NORM.S.INV(RAND()))</f>
        <v/>
      </c>
    </row>
    <row r="8676">
      <c r="F8676">
        <f>F8675+1</f>
        <v/>
      </c>
      <c r="G8676" s="92">
        <f>EXP($C$12+$C$8*_xlfn.NORM.S.INV(RAND()))</f>
        <v/>
      </c>
    </row>
    <row r="8677">
      <c r="F8677">
        <f>F8676+1</f>
        <v/>
      </c>
      <c r="G8677" s="92">
        <f>EXP($C$12+$C$8*_xlfn.NORM.S.INV(RAND()))</f>
        <v/>
      </c>
    </row>
    <row r="8678">
      <c r="F8678">
        <f>F8677+1</f>
        <v/>
      </c>
      <c r="G8678" s="92">
        <f>EXP($C$12+$C$8*_xlfn.NORM.S.INV(RAND()))</f>
        <v/>
      </c>
    </row>
    <row r="8679">
      <c r="F8679">
        <f>F8678+1</f>
        <v/>
      </c>
      <c r="G8679" s="92">
        <f>EXP($C$12+$C$8*_xlfn.NORM.S.INV(RAND()))</f>
        <v/>
      </c>
    </row>
    <row r="8680">
      <c r="F8680">
        <f>F8679+1</f>
        <v/>
      </c>
      <c r="G8680" s="92">
        <f>EXP($C$12+$C$8*_xlfn.NORM.S.INV(RAND()))</f>
        <v/>
      </c>
    </row>
    <row r="8681">
      <c r="F8681">
        <f>F8680+1</f>
        <v/>
      </c>
      <c r="G8681" s="92">
        <f>EXP($C$12+$C$8*_xlfn.NORM.S.INV(RAND()))</f>
        <v/>
      </c>
    </row>
    <row r="8682">
      <c r="F8682">
        <f>F8681+1</f>
        <v/>
      </c>
      <c r="G8682" s="92">
        <f>EXP($C$12+$C$8*_xlfn.NORM.S.INV(RAND()))</f>
        <v/>
      </c>
    </row>
    <row r="8683">
      <c r="F8683">
        <f>F8682+1</f>
        <v/>
      </c>
      <c r="G8683" s="92">
        <f>EXP($C$12+$C$8*_xlfn.NORM.S.INV(RAND()))</f>
        <v/>
      </c>
    </row>
    <row r="8684">
      <c r="F8684">
        <f>F8683+1</f>
        <v/>
      </c>
      <c r="G8684" s="92">
        <f>EXP($C$12+$C$8*_xlfn.NORM.S.INV(RAND()))</f>
        <v/>
      </c>
    </row>
    <row r="8685">
      <c r="F8685">
        <f>F8684+1</f>
        <v/>
      </c>
      <c r="G8685" s="92">
        <f>EXP($C$12+$C$8*_xlfn.NORM.S.INV(RAND()))</f>
        <v/>
      </c>
    </row>
    <row r="8686">
      <c r="F8686">
        <f>F8685+1</f>
        <v/>
      </c>
      <c r="G8686" s="92">
        <f>EXP($C$12+$C$8*_xlfn.NORM.S.INV(RAND()))</f>
        <v/>
      </c>
    </row>
    <row r="8687">
      <c r="F8687">
        <f>F8686+1</f>
        <v/>
      </c>
      <c r="G8687" s="92">
        <f>EXP($C$12+$C$8*_xlfn.NORM.S.INV(RAND()))</f>
        <v/>
      </c>
    </row>
    <row r="8688">
      <c r="F8688">
        <f>F8687+1</f>
        <v/>
      </c>
      <c r="G8688" s="92">
        <f>EXP($C$12+$C$8*_xlfn.NORM.S.INV(RAND()))</f>
        <v/>
      </c>
    </row>
    <row r="8689">
      <c r="F8689">
        <f>F8688+1</f>
        <v/>
      </c>
      <c r="G8689" s="92">
        <f>EXP($C$12+$C$8*_xlfn.NORM.S.INV(RAND()))</f>
        <v/>
      </c>
    </row>
    <row r="8690">
      <c r="F8690">
        <f>F8689+1</f>
        <v/>
      </c>
      <c r="G8690" s="92">
        <f>EXP($C$12+$C$8*_xlfn.NORM.S.INV(RAND()))</f>
        <v/>
      </c>
    </row>
    <row r="8691">
      <c r="F8691">
        <f>F8690+1</f>
        <v/>
      </c>
      <c r="G8691" s="92">
        <f>EXP($C$12+$C$8*_xlfn.NORM.S.INV(RAND()))</f>
        <v/>
      </c>
    </row>
    <row r="8692">
      <c r="F8692">
        <f>F8691+1</f>
        <v/>
      </c>
      <c r="G8692" s="92">
        <f>EXP($C$12+$C$8*_xlfn.NORM.S.INV(RAND()))</f>
        <v/>
      </c>
    </row>
    <row r="8693">
      <c r="F8693">
        <f>F8692+1</f>
        <v/>
      </c>
      <c r="G8693" s="92">
        <f>EXP($C$12+$C$8*_xlfn.NORM.S.INV(RAND()))</f>
        <v/>
      </c>
    </row>
    <row r="8694">
      <c r="F8694">
        <f>F8693+1</f>
        <v/>
      </c>
      <c r="G8694" s="92">
        <f>EXP($C$12+$C$8*_xlfn.NORM.S.INV(RAND()))</f>
        <v/>
      </c>
    </row>
    <row r="8695">
      <c r="F8695">
        <f>F8694+1</f>
        <v/>
      </c>
      <c r="G8695" s="92">
        <f>EXP($C$12+$C$8*_xlfn.NORM.S.INV(RAND()))</f>
        <v/>
      </c>
    </row>
    <row r="8696">
      <c r="F8696">
        <f>F8695+1</f>
        <v/>
      </c>
      <c r="G8696" s="92">
        <f>EXP($C$12+$C$8*_xlfn.NORM.S.INV(RAND()))</f>
        <v/>
      </c>
    </row>
    <row r="8697">
      <c r="F8697">
        <f>F8696+1</f>
        <v/>
      </c>
      <c r="G8697" s="92">
        <f>EXP($C$12+$C$8*_xlfn.NORM.S.INV(RAND()))</f>
        <v/>
      </c>
    </row>
    <row r="8698">
      <c r="F8698">
        <f>F8697+1</f>
        <v/>
      </c>
      <c r="G8698" s="92">
        <f>EXP($C$12+$C$8*_xlfn.NORM.S.INV(RAND()))</f>
        <v/>
      </c>
    </row>
    <row r="8699">
      <c r="F8699">
        <f>F8698+1</f>
        <v/>
      </c>
      <c r="G8699" s="92">
        <f>EXP($C$12+$C$8*_xlfn.NORM.S.INV(RAND()))</f>
        <v/>
      </c>
    </row>
    <row r="8700">
      <c r="F8700">
        <f>F8699+1</f>
        <v/>
      </c>
      <c r="G8700" s="92">
        <f>EXP($C$12+$C$8*_xlfn.NORM.S.INV(RAND()))</f>
        <v/>
      </c>
    </row>
    <row r="8701">
      <c r="F8701">
        <f>F8700+1</f>
        <v/>
      </c>
      <c r="G8701" s="92">
        <f>EXP($C$12+$C$8*_xlfn.NORM.S.INV(RAND()))</f>
        <v/>
      </c>
    </row>
    <row r="8702">
      <c r="F8702">
        <f>F8701+1</f>
        <v/>
      </c>
      <c r="G8702" s="92">
        <f>EXP($C$12+$C$8*_xlfn.NORM.S.INV(RAND()))</f>
        <v/>
      </c>
    </row>
    <row r="8703">
      <c r="F8703">
        <f>F8702+1</f>
        <v/>
      </c>
      <c r="G8703" s="92">
        <f>EXP($C$12+$C$8*_xlfn.NORM.S.INV(RAND()))</f>
        <v/>
      </c>
    </row>
    <row r="8704">
      <c r="F8704">
        <f>F8703+1</f>
        <v/>
      </c>
      <c r="G8704" s="92">
        <f>EXP($C$12+$C$8*_xlfn.NORM.S.INV(RAND()))</f>
        <v/>
      </c>
    </row>
    <row r="8705">
      <c r="F8705">
        <f>F8704+1</f>
        <v/>
      </c>
      <c r="G8705" s="92">
        <f>EXP($C$12+$C$8*_xlfn.NORM.S.INV(RAND()))</f>
        <v/>
      </c>
    </row>
    <row r="8706">
      <c r="F8706">
        <f>F8705+1</f>
        <v/>
      </c>
      <c r="G8706" s="92">
        <f>EXP($C$12+$C$8*_xlfn.NORM.S.INV(RAND()))</f>
        <v/>
      </c>
    </row>
    <row r="8707">
      <c r="F8707">
        <f>F8706+1</f>
        <v/>
      </c>
      <c r="G8707" s="92">
        <f>EXP($C$12+$C$8*_xlfn.NORM.S.INV(RAND()))</f>
        <v/>
      </c>
    </row>
    <row r="8708">
      <c r="F8708">
        <f>F8707+1</f>
        <v/>
      </c>
      <c r="G8708" s="92">
        <f>EXP($C$12+$C$8*_xlfn.NORM.S.INV(RAND()))</f>
        <v/>
      </c>
    </row>
    <row r="8709">
      <c r="F8709">
        <f>F8708+1</f>
        <v/>
      </c>
      <c r="G8709" s="92">
        <f>EXP($C$12+$C$8*_xlfn.NORM.S.INV(RAND()))</f>
        <v/>
      </c>
    </row>
    <row r="8710">
      <c r="F8710">
        <f>F8709+1</f>
        <v/>
      </c>
      <c r="G8710" s="92">
        <f>EXP($C$12+$C$8*_xlfn.NORM.S.INV(RAND()))</f>
        <v/>
      </c>
    </row>
    <row r="8711">
      <c r="F8711">
        <f>F8710+1</f>
        <v/>
      </c>
      <c r="G8711" s="92">
        <f>EXP($C$12+$C$8*_xlfn.NORM.S.INV(RAND()))</f>
        <v/>
      </c>
    </row>
    <row r="8712">
      <c r="F8712">
        <f>F8711+1</f>
        <v/>
      </c>
      <c r="G8712" s="92">
        <f>EXP($C$12+$C$8*_xlfn.NORM.S.INV(RAND()))</f>
        <v/>
      </c>
    </row>
    <row r="8713">
      <c r="F8713">
        <f>F8712+1</f>
        <v/>
      </c>
      <c r="G8713" s="92">
        <f>EXP($C$12+$C$8*_xlfn.NORM.S.INV(RAND()))</f>
        <v/>
      </c>
    </row>
    <row r="8714">
      <c r="F8714">
        <f>F8713+1</f>
        <v/>
      </c>
      <c r="G8714" s="92">
        <f>EXP($C$12+$C$8*_xlfn.NORM.S.INV(RAND()))</f>
        <v/>
      </c>
    </row>
    <row r="8715">
      <c r="F8715">
        <f>F8714+1</f>
        <v/>
      </c>
      <c r="G8715" s="92">
        <f>EXP($C$12+$C$8*_xlfn.NORM.S.INV(RAND()))</f>
        <v/>
      </c>
    </row>
    <row r="8716">
      <c r="F8716">
        <f>F8715+1</f>
        <v/>
      </c>
      <c r="G8716" s="92">
        <f>EXP($C$12+$C$8*_xlfn.NORM.S.INV(RAND()))</f>
        <v/>
      </c>
    </row>
    <row r="8717">
      <c r="F8717">
        <f>F8716+1</f>
        <v/>
      </c>
      <c r="G8717" s="92">
        <f>EXP($C$12+$C$8*_xlfn.NORM.S.INV(RAND()))</f>
        <v/>
      </c>
    </row>
    <row r="8718">
      <c r="F8718">
        <f>F8717+1</f>
        <v/>
      </c>
      <c r="G8718" s="92">
        <f>EXP($C$12+$C$8*_xlfn.NORM.S.INV(RAND()))</f>
        <v/>
      </c>
    </row>
    <row r="8719">
      <c r="F8719">
        <f>F8718+1</f>
        <v/>
      </c>
      <c r="G8719" s="92">
        <f>EXP($C$12+$C$8*_xlfn.NORM.S.INV(RAND()))</f>
        <v/>
      </c>
    </row>
    <row r="8720">
      <c r="F8720">
        <f>F8719+1</f>
        <v/>
      </c>
      <c r="G8720" s="92">
        <f>EXP($C$12+$C$8*_xlfn.NORM.S.INV(RAND()))</f>
        <v/>
      </c>
    </row>
    <row r="8721">
      <c r="F8721">
        <f>F8720+1</f>
        <v/>
      </c>
      <c r="G8721" s="92">
        <f>EXP($C$12+$C$8*_xlfn.NORM.S.INV(RAND()))</f>
        <v/>
      </c>
    </row>
    <row r="8722">
      <c r="F8722">
        <f>F8721+1</f>
        <v/>
      </c>
      <c r="G8722" s="92">
        <f>EXP($C$12+$C$8*_xlfn.NORM.S.INV(RAND()))</f>
        <v/>
      </c>
    </row>
    <row r="8723">
      <c r="F8723">
        <f>F8722+1</f>
        <v/>
      </c>
      <c r="G8723" s="92">
        <f>EXP($C$12+$C$8*_xlfn.NORM.S.INV(RAND()))</f>
        <v/>
      </c>
    </row>
    <row r="8724">
      <c r="F8724">
        <f>F8723+1</f>
        <v/>
      </c>
      <c r="G8724" s="92">
        <f>EXP($C$12+$C$8*_xlfn.NORM.S.INV(RAND()))</f>
        <v/>
      </c>
    </row>
    <row r="8725">
      <c r="F8725">
        <f>F8724+1</f>
        <v/>
      </c>
      <c r="G8725" s="92">
        <f>EXP($C$12+$C$8*_xlfn.NORM.S.INV(RAND()))</f>
        <v/>
      </c>
    </row>
    <row r="8726">
      <c r="F8726">
        <f>F8725+1</f>
        <v/>
      </c>
      <c r="G8726" s="92">
        <f>EXP($C$12+$C$8*_xlfn.NORM.S.INV(RAND()))</f>
        <v/>
      </c>
    </row>
    <row r="8727">
      <c r="F8727">
        <f>F8726+1</f>
        <v/>
      </c>
      <c r="G8727" s="92">
        <f>EXP($C$12+$C$8*_xlfn.NORM.S.INV(RAND()))</f>
        <v/>
      </c>
    </row>
    <row r="8728">
      <c r="F8728">
        <f>F8727+1</f>
        <v/>
      </c>
      <c r="G8728" s="92">
        <f>EXP($C$12+$C$8*_xlfn.NORM.S.INV(RAND()))</f>
        <v/>
      </c>
    </row>
    <row r="8729">
      <c r="F8729">
        <f>F8728+1</f>
        <v/>
      </c>
      <c r="G8729" s="92">
        <f>EXP($C$12+$C$8*_xlfn.NORM.S.INV(RAND()))</f>
        <v/>
      </c>
    </row>
    <row r="8730">
      <c r="F8730">
        <f>F8729+1</f>
        <v/>
      </c>
      <c r="G8730" s="92">
        <f>EXP($C$12+$C$8*_xlfn.NORM.S.INV(RAND()))</f>
        <v/>
      </c>
    </row>
    <row r="8731">
      <c r="F8731">
        <f>F8730+1</f>
        <v/>
      </c>
      <c r="G8731" s="92">
        <f>EXP($C$12+$C$8*_xlfn.NORM.S.INV(RAND()))</f>
        <v/>
      </c>
    </row>
    <row r="8732">
      <c r="F8732">
        <f>F8731+1</f>
        <v/>
      </c>
      <c r="G8732" s="92">
        <f>EXP($C$12+$C$8*_xlfn.NORM.S.INV(RAND()))</f>
        <v/>
      </c>
    </row>
    <row r="8733">
      <c r="F8733">
        <f>F8732+1</f>
        <v/>
      </c>
      <c r="G8733" s="92">
        <f>EXP($C$12+$C$8*_xlfn.NORM.S.INV(RAND()))</f>
        <v/>
      </c>
    </row>
    <row r="8734">
      <c r="F8734">
        <f>F8733+1</f>
        <v/>
      </c>
      <c r="G8734" s="92">
        <f>EXP($C$12+$C$8*_xlfn.NORM.S.INV(RAND()))</f>
        <v/>
      </c>
    </row>
    <row r="8735">
      <c r="F8735">
        <f>F8734+1</f>
        <v/>
      </c>
      <c r="G8735" s="92">
        <f>EXP($C$12+$C$8*_xlfn.NORM.S.INV(RAND()))</f>
        <v/>
      </c>
    </row>
    <row r="8736">
      <c r="F8736">
        <f>F8735+1</f>
        <v/>
      </c>
      <c r="G8736" s="92">
        <f>EXP($C$12+$C$8*_xlfn.NORM.S.INV(RAND()))</f>
        <v/>
      </c>
    </row>
    <row r="8737">
      <c r="F8737">
        <f>F8736+1</f>
        <v/>
      </c>
      <c r="G8737" s="92">
        <f>EXP($C$12+$C$8*_xlfn.NORM.S.INV(RAND()))</f>
        <v/>
      </c>
    </row>
    <row r="8738">
      <c r="F8738">
        <f>F8737+1</f>
        <v/>
      </c>
      <c r="G8738" s="92">
        <f>EXP($C$12+$C$8*_xlfn.NORM.S.INV(RAND()))</f>
        <v/>
      </c>
    </row>
    <row r="8739">
      <c r="F8739">
        <f>F8738+1</f>
        <v/>
      </c>
      <c r="G8739" s="92">
        <f>EXP($C$12+$C$8*_xlfn.NORM.S.INV(RAND()))</f>
        <v/>
      </c>
    </row>
    <row r="8740">
      <c r="F8740">
        <f>F8739+1</f>
        <v/>
      </c>
      <c r="G8740" s="92">
        <f>EXP($C$12+$C$8*_xlfn.NORM.S.INV(RAND()))</f>
        <v/>
      </c>
    </row>
    <row r="8741">
      <c r="F8741">
        <f>F8740+1</f>
        <v/>
      </c>
      <c r="G8741" s="92">
        <f>EXP($C$12+$C$8*_xlfn.NORM.S.INV(RAND()))</f>
        <v/>
      </c>
    </row>
    <row r="8742">
      <c r="F8742">
        <f>F8741+1</f>
        <v/>
      </c>
      <c r="G8742" s="92">
        <f>EXP($C$12+$C$8*_xlfn.NORM.S.INV(RAND()))</f>
        <v/>
      </c>
    </row>
    <row r="8743">
      <c r="F8743">
        <f>F8742+1</f>
        <v/>
      </c>
      <c r="G8743" s="92">
        <f>EXP($C$12+$C$8*_xlfn.NORM.S.INV(RAND()))</f>
        <v/>
      </c>
    </row>
    <row r="8744">
      <c r="F8744">
        <f>F8743+1</f>
        <v/>
      </c>
      <c r="G8744" s="92">
        <f>EXP($C$12+$C$8*_xlfn.NORM.S.INV(RAND()))</f>
        <v/>
      </c>
    </row>
    <row r="8745">
      <c r="F8745">
        <f>F8744+1</f>
        <v/>
      </c>
      <c r="G8745" s="92">
        <f>EXP($C$12+$C$8*_xlfn.NORM.S.INV(RAND()))</f>
        <v/>
      </c>
    </row>
    <row r="8746">
      <c r="F8746">
        <f>F8745+1</f>
        <v/>
      </c>
      <c r="G8746" s="92">
        <f>EXP($C$12+$C$8*_xlfn.NORM.S.INV(RAND()))</f>
        <v/>
      </c>
    </row>
    <row r="8747">
      <c r="F8747">
        <f>F8746+1</f>
        <v/>
      </c>
      <c r="G8747" s="92">
        <f>EXP($C$12+$C$8*_xlfn.NORM.S.INV(RAND()))</f>
        <v/>
      </c>
    </row>
    <row r="8748">
      <c r="F8748">
        <f>F8747+1</f>
        <v/>
      </c>
      <c r="G8748" s="92">
        <f>EXP($C$12+$C$8*_xlfn.NORM.S.INV(RAND()))</f>
        <v/>
      </c>
    </row>
    <row r="8749">
      <c r="F8749">
        <f>F8748+1</f>
        <v/>
      </c>
      <c r="G8749" s="92">
        <f>EXP($C$12+$C$8*_xlfn.NORM.S.INV(RAND()))</f>
        <v/>
      </c>
    </row>
    <row r="8750">
      <c r="F8750">
        <f>F8749+1</f>
        <v/>
      </c>
      <c r="G8750" s="92">
        <f>EXP($C$12+$C$8*_xlfn.NORM.S.INV(RAND()))</f>
        <v/>
      </c>
    </row>
    <row r="8751">
      <c r="F8751">
        <f>F8750+1</f>
        <v/>
      </c>
      <c r="G8751" s="92">
        <f>EXP($C$12+$C$8*_xlfn.NORM.S.INV(RAND()))</f>
        <v/>
      </c>
    </row>
    <row r="8752">
      <c r="F8752">
        <f>F8751+1</f>
        <v/>
      </c>
      <c r="G8752" s="92">
        <f>EXP($C$12+$C$8*_xlfn.NORM.S.INV(RAND()))</f>
        <v/>
      </c>
    </row>
    <row r="8753">
      <c r="F8753">
        <f>F8752+1</f>
        <v/>
      </c>
      <c r="G8753" s="92">
        <f>EXP($C$12+$C$8*_xlfn.NORM.S.INV(RAND()))</f>
        <v/>
      </c>
    </row>
    <row r="8754">
      <c r="F8754">
        <f>F8753+1</f>
        <v/>
      </c>
      <c r="G8754" s="92">
        <f>EXP($C$12+$C$8*_xlfn.NORM.S.INV(RAND()))</f>
        <v/>
      </c>
    </row>
    <row r="8755">
      <c r="F8755">
        <f>F8754+1</f>
        <v/>
      </c>
      <c r="G8755" s="92">
        <f>EXP($C$12+$C$8*_xlfn.NORM.S.INV(RAND()))</f>
        <v/>
      </c>
    </row>
    <row r="8756">
      <c r="F8756">
        <f>F8755+1</f>
        <v/>
      </c>
      <c r="G8756" s="92">
        <f>EXP($C$12+$C$8*_xlfn.NORM.S.INV(RAND()))</f>
        <v/>
      </c>
    </row>
    <row r="8757">
      <c r="F8757">
        <f>F8756+1</f>
        <v/>
      </c>
      <c r="G8757" s="92">
        <f>EXP($C$12+$C$8*_xlfn.NORM.S.INV(RAND()))</f>
        <v/>
      </c>
    </row>
    <row r="8758">
      <c r="F8758">
        <f>F8757+1</f>
        <v/>
      </c>
      <c r="G8758" s="92">
        <f>EXP($C$12+$C$8*_xlfn.NORM.S.INV(RAND()))</f>
        <v/>
      </c>
    </row>
    <row r="8759">
      <c r="F8759">
        <f>F8758+1</f>
        <v/>
      </c>
      <c r="G8759" s="92">
        <f>EXP($C$12+$C$8*_xlfn.NORM.S.INV(RAND()))</f>
        <v/>
      </c>
    </row>
    <row r="8760">
      <c r="F8760">
        <f>F8759+1</f>
        <v/>
      </c>
      <c r="G8760" s="92">
        <f>EXP($C$12+$C$8*_xlfn.NORM.S.INV(RAND()))</f>
        <v/>
      </c>
    </row>
    <row r="8761">
      <c r="F8761">
        <f>F8760+1</f>
        <v/>
      </c>
      <c r="G8761" s="92">
        <f>EXP($C$12+$C$8*_xlfn.NORM.S.INV(RAND()))</f>
        <v/>
      </c>
    </row>
    <row r="8762">
      <c r="F8762">
        <f>F8761+1</f>
        <v/>
      </c>
      <c r="G8762" s="92">
        <f>EXP($C$12+$C$8*_xlfn.NORM.S.INV(RAND()))</f>
        <v/>
      </c>
    </row>
    <row r="8763">
      <c r="F8763">
        <f>F8762+1</f>
        <v/>
      </c>
      <c r="G8763" s="92">
        <f>EXP($C$12+$C$8*_xlfn.NORM.S.INV(RAND()))</f>
        <v/>
      </c>
    </row>
    <row r="8764">
      <c r="F8764">
        <f>F8763+1</f>
        <v/>
      </c>
      <c r="G8764" s="92">
        <f>EXP($C$12+$C$8*_xlfn.NORM.S.INV(RAND()))</f>
        <v/>
      </c>
    </row>
    <row r="8765">
      <c r="F8765">
        <f>F8764+1</f>
        <v/>
      </c>
      <c r="G8765" s="92">
        <f>EXP($C$12+$C$8*_xlfn.NORM.S.INV(RAND()))</f>
        <v/>
      </c>
    </row>
    <row r="8766">
      <c r="F8766">
        <f>F8765+1</f>
        <v/>
      </c>
      <c r="G8766" s="92">
        <f>EXP($C$12+$C$8*_xlfn.NORM.S.INV(RAND()))</f>
        <v/>
      </c>
    </row>
    <row r="8767">
      <c r="F8767">
        <f>F8766+1</f>
        <v/>
      </c>
      <c r="G8767" s="92">
        <f>EXP($C$12+$C$8*_xlfn.NORM.S.INV(RAND()))</f>
        <v/>
      </c>
    </row>
    <row r="8768">
      <c r="F8768">
        <f>F8767+1</f>
        <v/>
      </c>
      <c r="G8768" s="92">
        <f>EXP($C$12+$C$8*_xlfn.NORM.S.INV(RAND()))</f>
        <v/>
      </c>
    </row>
    <row r="8769">
      <c r="F8769">
        <f>F8768+1</f>
        <v/>
      </c>
      <c r="G8769" s="92">
        <f>EXP($C$12+$C$8*_xlfn.NORM.S.INV(RAND()))</f>
        <v/>
      </c>
    </row>
    <row r="8770">
      <c r="F8770">
        <f>F8769+1</f>
        <v/>
      </c>
      <c r="G8770" s="92">
        <f>EXP($C$12+$C$8*_xlfn.NORM.S.INV(RAND()))</f>
        <v/>
      </c>
    </row>
    <row r="8771">
      <c r="F8771">
        <f>F8770+1</f>
        <v/>
      </c>
      <c r="G8771" s="92">
        <f>EXP($C$12+$C$8*_xlfn.NORM.S.INV(RAND()))</f>
        <v/>
      </c>
    </row>
    <row r="8772">
      <c r="F8772">
        <f>F8771+1</f>
        <v/>
      </c>
      <c r="G8772" s="92">
        <f>EXP($C$12+$C$8*_xlfn.NORM.S.INV(RAND()))</f>
        <v/>
      </c>
    </row>
    <row r="8773">
      <c r="F8773">
        <f>F8772+1</f>
        <v/>
      </c>
      <c r="G8773" s="92">
        <f>EXP($C$12+$C$8*_xlfn.NORM.S.INV(RAND()))</f>
        <v/>
      </c>
    </row>
    <row r="8774">
      <c r="F8774">
        <f>F8773+1</f>
        <v/>
      </c>
      <c r="G8774" s="92">
        <f>EXP($C$12+$C$8*_xlfn.NORM.S.INV(RAND()))</f>
        <v/>
      </c>
    </row>
    <row r="8775">
      <c r="F8775">
        <f>F8774+1</f>
        <v/>
      </c>
      <c r="G8775" s="92">
        <f>EXP($C$12+$C$8*_xlfn.NORM.S.INV(RAND()))</f>
        <v/>
      </c>
    </row>
    <row r="8776">
      <c r="F8776">
        <f>F8775+1</f>
        <v/>
      </c>
      <c r="G8776" s="92">
        <f>EXP($C$12+$C$8*_xlfn.NORM.S.INV(RAND()))</f>
        <v/>
      </c>
    </row>
    <row r="8777">
      <c r="F8777">
        <f>F8776+1</f>
        <v/>
      </c>
      <c r="G8777" s="92">
        <f>EXP($C$12+$C$8*_xlfn.NORM.S.INV(RAND()))</f>
        <v/>
      </c>
    </row>
    <row r="8778">
      <c r="F8778">
        <f>F8777+1</f>
        <v/>
      </c>
      <c r="G8778" s="92">
        <f>EXP($C$12+$C$8*_xlfn.NORM.S.INV(RAND()))</f>
        <v/>
      </c>
    </row>
    <row r="8779">
      <c r="F8779">
        <f>F8778+1</f>
        <v/>
      </c>
      <c r="G8779" s="92">
        <f>EXP($C$12+$C$8*_xlfn.NORM.S.INV(RAND()))</f>
        <v/>
      </c>
    </row>
    <row r="8780">
      <c r="F8780">
        <f>F8779+1</f>
        <v/>
      </c>
      <c r="G8780" s="92">
        <f>EXP($C$12+$C$8*_xlfn.NORM.S.INV(RAND()))</f>
        <v/>
      </c>
    </row>
    <row r="8781">
      <c r="F8781">
        <f>F8780+1</f>
        <v/>
      </c>
      <c r="G8781" s="92">
        <f>EXP($C$12+$C$8*_xlfn.NORM.S.INV(RAND()))</f>
        <v/>
      </c>
    </row>
    <row r="8782">
      <c r="F8782">
        <f>F8781+1</f>
        <v/>
      </c>
      <c r="G8782" s="92">
        <f>EXP($C$12+$C$8*_xlfn.NORM.S.INV(RAND()))</f>
        <v/>
      </c>
    </row>
    <row r="8783">
      <c r="F8783">
        <f>F8782+1</f>
        <v/>
      </c>
      <c r="G8783" s="92">
        <f>EXP($C$12+$C$8*_xlfn.NORM.S.INV(RAND()))</f>
        <v/>
      </c>
    </row>
    <row r="8784">
      <c r="F8784">
        <f>F8783+1</f>
        <v/>
      </c>
      <c r="G8784" s="92">
        <f>EXP($C$12+$C$8*_xlfn.NORM.S.INV(RAND()))</f>
        <v/>
      </c>
    </row>
    <row r="8785">
      <c r="F8785">
        <f>F8784+1</f>
        <v/>
      </c>
      <c r="G8785" s="92">
        <f>EXP($C$12+$C$8*_xlfn.NORM.S.INV(RAND()))</f>
        <v/>
      </c>
    </row>
    <row r="8786">
      <c r="F8786">
        <f>F8785+1</f>
        <v/>
      </c>
      <c r="G8786" s="92">
        <f>EXP($C$12+$C$8*_xlfn.NORM.S.INV(RAND()))</f>
        <v/>
      </c>
    </row>
    <row r="8787">
      <c r="F8787">
        <f>F8786+1</f>
        <v/>
      </c>
      <c r="G8787" s="92">
        <f>EXP($C$12+$C$8*_xlfn.NORM.S.INV(RAND()))</f>
        <v/>
      </c>
    </row>
    <row r="8788">
      <c r="F8788">
        <f>F8787+1</f>
        <v/>
      </c>
      <c r="G8788" s="92">
        <f>EXP($C$12+$C$8*_xlfn.NORM.S.INV(RAND()))</f>
        <v/>
      </c>
    </row>
    <row r="8789">
      <c r="F8789">
        <f>F8788+1</f>
        <v/>
      </c>
      <c r="G8789" s="92">
        <f>EXP($C$12+$C$8*_xlfn.NORM.S.INV(RAND()))</f>
        <v/>
      </c>
    </row>
    <row r="8790">
      <c r="F8790">
        <f>F8789+1</f>
        <v/>
      </c>
      <c r="G8790" s="92">
        <f>EXP($C$12+$C$8*_xlfn.NORM.S.INV(RAND()))</f>
        <v/>
      </c>
    </row>
    <row r="8791">
      <c r="F8791">
        <f>F8790+1</f>
        <v/>
      </c>
      <c r="G8791" s="92">
        <f>EXP($C$12+$C$8*_xlfn.NORM.S.INV(RAND()))</f>
        <v/>
      </c>
    </row>
    <row r="8792">
      <c r="F8792">
        <f>F8791+1</f>
        <v/>
      </c>
      <c r="G8792" s="92">
        <f>EXP($C$12+$C$8*_xlfn.NORM.S.INV(RAND()))</f>
        <v/>
      </c>
    </row>
    <row r="8793">
      <c r="F8793">
        <f>F8792+1</f>
        <v/>
      </c>
      <c r="G8793" s="92">
        <f>EXP($C$12+$C$8*_xlfn.NORM.S.INV(RAND()))</f>
        <v/>
      </c>
    </row>
    <row r="8794">
      <c r="F8794">
        <f>F8793+1</f>
        <v/>
      </c>
      <c r="G8794" s="92">
        <f>EXP($C$12+$C$8*_xlfn.NORM.S.INV(RAND()))</f>
        <v/>
      </c>
    </row>
    <row r="8795">
      <c r="F8795">
        <f>F8794+1</f>
        <v/>
      </c>
      <c r="G8795" s="92">
        <f>EXP($C$12+$C$8*_xlfn.NORM.S.INV(RAND()))</f>
        <v/>
      </c>
    </row>
    <row r="8796">
      <c r="F8796">
        <f>F8795+1</f>
        <v/>
      </c>
      <c r="G8796" s="92">
        <f>EXP($C$12+$C$8*_xlfn.NORM.S.INV(RAND()))</f>
        <v/>
      </c>
    </row>
    <row r="8797">
      <c r="F8797">
        <f>F8796+1</f>
        <v/>
      </c>
      <c r="G8797" s="92">
        <f>EXP($C$12+$C$8*_xlfn.NORM.S.INV(RAND()))</f>
        <v/>
      </c>
    </row>
    <row r="8798">
      <c r="F8798">
        <f>F8797+1</f>
        <v/>
      </c>
      <c r="G8798" s="92">
        <f>EXP($C$12+$C$8*_xlfn.NORM.S.INV(RAND()))</f>
        <v/>
      </c>
    </row>
    <row r="8799">
      <c r="F8799">
        <f>F8798+1</f>
        <v/>
      </c>
      <c r="G8799" s="92">
        <f>EXP($C$12+$C$8*_xlfn.NORM.S.INV(RAND()))</f>
        <v/>
      </c>
    </row>
    <row r="8800">
      <c r="F8800">
        <f>F8799+1</f>
        <v/>
      </c>
      <c r="G8800" s="92">
        <f>EXP($C$12+$C$8*_xlfn.NORM.S.INV(RAND()))</f>
        <v/>
      </c>
    </row>
    <row r="8801">
      <c r="F8801">
        <f>F8800+1</f>
        <v/>
      </c>
      <c r="G8801" s="92">
        <f>EXP($C$12+$C$8*_xlfn.NORM.S.INV(RAND()))</f>
        <v/>
      </c>
    </row>
    <row r="8802">
      <c r="F8802">
        <f>F8801+1</f>
        <v/>
      </c>
      <c r="G8802" s="92">
        <f>EXP($C$12+$C$8*_xlfn.NORM.S.INV(RAND()))</f>
        <v/>
      </c>
    </row>
    <row r="8803">
      <c r="F8803">
        <f>F8802+1</f>
        <v/>
      </c>
      <c r="G8803" s="92">
        <f>EXP($C$12+$C$8*_xlfn.NORM.S.INV(RAND()))</f>
        <v/>
      </c>
    </row>
    <row r="8804">
      <c r="F8804">
        <f>F8803+1</f>
        <v/>
      </c>
      <c r="G8804" s="92">
        <f>EXP($C$12+$C$8*_xlfn.NORM.S.INV(RAND()))</f>
        <v/>
      </c>
    </row>
    <row r="8805">
      <c r="F8805">
        <f>F8804+1</f>
        <v/>
      </c>
      <c r="G8805" s="92">
        <f>EXP($C$12+$C$8*_xlfn.NORM.S.INV(RAND()))</f>
        <v/>
      </c>
    </row>
    <row r="8806">
      <c r="F8806">
        <f>F8805+1</f>
        <v/>
      </c>
      <c r="G8806" s="92">
        <f>EXP($C$12+$C$8*_xlfn.NORM.S.INV(RAND()))</f>
        <v/>
      </c>
    </row>
    <row r="8807">
      <c r="F8807">
        <f>F8806+1</f>
        <v/>
      </c>
      <c r="G8807" s="92">
        <f>EXP($C$12+$C$8*_xlfn.NORM.S.INV(RAND()))</f>
        <v/>
      </c>
    </row>
    <row r="8808">
      <c r="F8808">
        <f>F8807+1</f>
        <v/>
      </c>
      <c r="G8808" s="92">
        <f>EXP($C$12+$C$8*_xlfn.NORM.S.INV(RAND()))</f>
        <v/>
      </c>
    </row>
    <row r="8809">
      <c r="F8809">
        <f>F8808+1</f>
        <v/>
      </c>
      <c r="G8809" s="92">
        <f>EXP($C$12+$C$8*_xlfn.NORM.S.INV(RAND()))</f>
        <v/>
      </c>
    </row>
    <row r="8810">
      <c r="F8810">
        <f>F8809+1</f>
        <v/>
      </c>
      <c r="G8810" s="92">
        <f>EXP($C$12+$C$8*_xlfn.NORM.S.INV(RAND()))</f>
        <v/>
      </c>
    </row>
    <row r="8811">
      <c r="F8811">
        <f>F8810+1</f>
        <v/>
      </c>
      <c r="G8811" s="92">
        <f>EXP($C$12+$C$8*_xlfn.NORM.S.INV(RAND()))</f>
        <v/>
      </c>
    </row>
    <row r="8812">
      <c r="F8812">
        <f>F8811+1</f>
        <v/>
      </c>
      <c r="G8812" s="92">
        <f>EXP($C$12+$C$8*_xlfn.NORM.S.INV(RAND()))</f>
        <v/>
      </c>
    </row>
    <row r="8813">
      <c r="F8813">
        <f>F8812+1</f>
        <v/>
      </c>
      <c r="G8813" s="92">
        <f>EXP($C$12+$C$8*_xlfn.NORM.S.INV(RAND()))</f>
        <v/>
      </c>
    </row>
    <row r="8814">
      <c r="F8814">
        <f>F8813+1</f>
        <v/>
      </c>
      <c r="G8814" s="92">
        <f>EXP($C$12+$C$8*_xlfn.NORM.S.INV(RAND()))</f>
        <v/>
      </c>
    </row>
    <row r="8815">
      <c r="F8815">
        <f>F8814+1</f>
        <v/>
      </c>
      <c r="G8815" s="92">
        <f>EXP($C$12+$C$8*_xlfn.NORM.S.INV(RAND()))</f>
        <v/>
      </c>
    </row>
    <row r="8816">
      <c r="F8816">
        <f>F8815+1</f>
        <v/>
      </c>
      <c r="G8816" s="92">
        <f>EXP($C$12+$C$8*_xlfn.NORM.S.INV(RAND()))</f>
        <v/>
      </c>
    </row>
    <row r="8817">
      <c r="F8817">
        <f>F8816+1</f>
        <v/>
      </c>
      <c r="G8817" s="92">
        <f>EXP($C$12+$C$8*_xlfn.NORM.S.INV(RAND()))</f>
        <v/>
      </c>
    </row>
    <row r="8818">
      <c r="F8818">
        <f>F8817+1</f>
        <v/>
      </c>
      <c r="G8818" s="92">
        <f>EXP($C$12+$C$8*_xlfn.NORM.S.INV(RAND()))</f>
        <v/>
      </c>
    </row>
    <row r="8819">
      <c r="F8819">
        <f>F8818+1</f>
        <v/>
      </c>
      <c r="G8819" s="92">
        <f>EXP($C$12+$C$8*_xlfn.NORM.S.INV(RAND()))</f>
        <v/>
      </c>
    </row>
    <row r="8820">
      <c r="F8820">
        <f>F8819+1</f>
        <v/>
      </c>
      <c r="G8820" s="92">
        <f>EXP($C$12+$C$8*_xlfn.NORM.S.INV(RAND()))</f>
        <v/>
      </c>
    </row>
    <row r="8821">
      <c r="F8821">
        <f>F8820+1</f>
        <v/>
      </c>
      <c r="G8821" s="92">
        <f>EXP($C$12+$C$8*_xlfn.NORM.S.INV(RAND()))</f>
        <v/>
      </c>
    </row>
    <row r="8822">
      <c r="F8822">
        <f>F8821+1</f>
        <v/>
      </c>
      <c r="G8822" s="92">
        <f>EXP($C$12+$C$8*_xlfn.NORM.S.INV(RAND()))</f>
        <v/>
      </c>
    </row>
    <row r="8823">
      <c r="F8823">
        <f>F8822+1</f>
        <v/>
      </c>
      <c r="G8823" s="92">
        <f>EXP($C$12+$C$8*_xlfn.NORM.S.INV(RAND()))</f>
        <v/>
      </c>
    </row>
    <row r="8824">
      <c r="F8824">
        <f>F8823+1</f>
        <v/>
      </c>
      <c r="G8824" s="92">
        <f>EXP($C$12+$C$8*_xlfn.NORM.S.INV(RAND()))</f>
        <v/>
      </c>
    </row>
    <row r="8825">
      <c r="F8825">
        <f>F8824+1</f>
        <v/>
      </c>
      <c r="G8825" s="92">
        <f>EXP($C$12+$C$8*_xlfn.NORM.S.INV(RAND()))</f>
        <v/>
      </c>
    </row>
    <row r="8826">
      <c r="F8826">
        <f>F8825+1</f>
        <v/>
      </c>
      <c r="G8826" s="92">
        <f>EXP($C$12+$C$8*_xlfn.NORM.S.INV(RAND()))</f>
        <v/>
      </c>
    </row>
    <row r="8827">
      <c r="F8827">
        <f>F8826+1</f>
        <v/>
      </c>
      <c r="G8827" s="92">
        <f>EXP($C$12+$C$8*_xlfn.NORM.S.INV(RAND()))</f>
        <v/>
      </c>
    </row>
    <row r="8828">
      <c r="F8828">
        <f>F8827+1</f>
        <v/>
      </c>
      <c r="G8828" s="92">
        <f>EXP($C$12+$C$8*_xlfn.NORM.S.INV(RAND()))</f>
        <v/>
      </c>
    </row>
    <row r="8829">
      <c r="F8829">
        <f>F8828+1</f>
        <v/>
      </c>
      <c r="G8829" s="92">
        <f>EXP($C$12+$C$8*_xlfn.NORM.S.INV(RAND()))</f>
        <v/>
      </c>
    </row>
    <row r="8830">
      <c r="F8830">
        <f>F8829+1</f>
        <v/>
      </c>
      <c r="G8830" s="92">
        <f>EXP($C$12+$C$8*_xlfn.NORM.S.INV(RAND()))</f>
        <v/>
      </c>
    </row>
    <row r="8831">
      <c r="F8831">
        <f>F8830+1</f>
        <v/>
      </c>
      <c r="G8831" s="92">
        <f>EXP($C$12+$C$8*_xlfn.NORM.S.INV(RAND()))</f>
        <v/>
      </c>
    </row>
    <row r="8832">
      <c r="F8832">
        <f>F8831+1</f>
        <v/>
      </c>
      <c r="G8832" s="92">
        <f>EXP($C$12+$C$8*_xlfn.NORM.S.INV(RAND()))</f>
        <v/>
      </c>
    </row>
    <row r="8833">
      <c r="F8833">
        <f>F8832+1</f>
        <v/>
      </c>
      <c r="G8833" s="92">
        <f>EXP($C$12+$C$8*_xlfn.NORM.S.INV(RAND()))</f>
        <v/>
      </c>
    </row>
    <row r="8834">
      <c r="F8834">
        <f>F8833+1</f>
        <v/>
      </c>
      <c r="G8834" s="92">
        <f>EXP($C$12+$C$8*_xlfn.NORM.S.INV(RAND()))</f>
        <v/>
      </c>
    </row>
    <row r="8835">
      <c r="F8835">
        <f>F8834+1</f>
        <v/>
      </c>
      <c r="G8835" s="92">
        <f>EXP($C$12+$C$8*_xlfn.NORM.S.INV(RAND()))</f>
        <v/>
      </c>
    </row>
    <row r="8836">
      <c r="F8836">
        <f>F8835+1</f>
        <v/>
      </c>
      <c r="G8836" s="92">
        <f>EXP($C$12+$C$8*_xlfn.NORM.S.INV(RAND()))</f>
        <v/>
      </c>
    </row>
    <row r="8837">
      <c r="F8837">
        <f>F8836+1</f>
        <v/>
      </c>
      <c r="G8837" s="92">
        <f>EXP($C$12+$C$8*_xlfn.NORM.S.INV(RAND()))</f>
        <v/>
      </c>
    </row>
    <row r="8838">
      <c r="F8838">
        <f>F8837+1</f>
        <v/>
      </c>
      <c r="G8838" s="92">
        <f>EXP($C$12+$C$8*_xlfn.NORM.S.INV(RAND()))</f>
        <v/>
      </c>
    </row>
    <row r="8839">
      <c r="F8839">
        <f>F8838+1</f>
        <v/>
      </c>
      <c r="G8839" s="92">
        <f>EXP($C$12+$C$8*_xlfn.NORM.S.INV(RAND()))</f>
        <v/>
      </c>
    </row>
    <row r="8840">
      <c r="F8840">
        <f>F8839+1</f>
        <v/>
      </c>
      <c r="G8840" s="92">
        <f>EXP($C$12+$C$8*_xlfn.NORM.S.INV(RAND()))</f>
        <v/>
      </c>
    </row>
    <row r="8841">
      <c r="F8841">
        <f>F8840+1</f>
        <v/>
      </c>
      <c r="G8841" s="92">
        <f>EXP($C$12+$C$8*_xlfn.NORM.S.INV(RAND()))</f>
        <v/>
      </c>
    </row>
    <row r="8842">
      <c r="F8842">
        <f>F8841+1</f>
        <v/>
      </c>
      <c r="G8842" s="92">
        <f>EXP($C$12+$C$8*_xlfn.NORM.S.INV(RAND()))</f>
        <v/>
      </c>
    </row>
    <row r="8843">
      <c r="F8843">
        <f>F8842+1</f>
        <v/>
      </c>
      <c r="G8843" s="92">
        <f>EXP($C$12+$C$8*_xlfn.NORM.S.INV(RAND()))</f>
        <v/>
      </c>
    </row>
    <row r="8844">
      <c r="F8844">
        <f>F8843+1</f>
        <v/>
      </c>
      <c r="G8844" s="92">
        <f>EXP($C$12+$C$8*_xlfn.NORM.S.INV(RAND()))</f>
        <v/>
      </c>
    </row>
    <row r="8845">
      <c r="F8845">
        <f>F8844+1</f>
        <v/>
      </c>
      <c r="G8845" s="92">
        <f>EXP($C$12+$C$8*_xlfn.NORM.S.INV(RAND()))</f>
        <v/>
      </c>
    </row>
    <row r="8846">
      <c r="F8846">
        <f>F8845+1</f>
        <v/>
      </c>
      <c r="G8846" s="92">
        <f>EXP($C$12+$C$8*_xlfn.NORM.S.INV(RAND()))</f>
        <v/>
      </c>
    </row>
    <row r="8847">
      <c r="F8847">
        <f>F8846+1</f>
        <v/>
      </c>
      <c r="G8847" s="92">
        <f>EXP($C$12+$C$8*_xlfn.NORM.S.INV(RAND()))</f>
        <v/>
      </c>
    </row>
    <row r="8848">
      <c r="F8848">
        <f>F8847+1</f>
        <v/>
      </c>
      <c r="G8848" s="92">
        <f>EXP($C$12+$C$8*_xlfn.NORM.S.INV(RAND()))</f>
        <v/>
      </c>
    </row>
    <row r="8849">
      <c r="F8849">
        <f>F8848+1</f>
        <v/>
      </c>
      <c r="G8849" s="92">
        <f>EXP($C$12+$C$8*_xlfn.NORM.S.INV(RAND()))</f>
        <v/>
      </c>
    </row>
    <row r="8850">
      <c r="F8850">
        <f>F8849+1</f>
        <v/>
      </c>
      <c r="G8850" s="92">
        <f>EXP($C$12+$C$8*_xlfn.NORM.S.INV(RAND()))</f>
        <v/>
      </c>
    </row>
    <row r="8851">
      <c r="F8851">
        <f>F8850+1</f>
        <v/>
      </c>
      <c r="G8851" s="92">
        <f>EXP($C$12+$C$8*_xlfn.NORM.S.INV(RAND()))</f>
        <v/>
      </c>
    </row>
    <row r="8852">
      <c r="F8852">
        <f>F8851+1</f>
        <v/>
      </c>
      <c r="G8852" s="92">
        <f>EXP($C$12+$C$8*_xlfn.NORM.S.INV(RAND()))</f>
        <v/>
      </c>
    </row>
    <row r="8853">
      <c r="F8853">
        <f>F8852+1</f>
        <v/>
      </c>
      <c r="G8853" s="92">
        <f>EXP($C$12+$C$8*_xlfn.NORM.S.INV(RAND()))</f>
        <v/>
      </c>
    </row>
    <row r="8854">
      <c r="F8854">
        <f>F8853+1</f>
        <v/>
      </c>
      <c r="G8854" s="92">
        <f>EXP($C$12+$C$8*_xlfn.NORM.S.INV(RAND()))</f>
        <v/>
      </c>
    </row>
    <row r="8855">
      <c r="F8855">
        <f>F8854+1</f>
        <v/>
      </c>
      <c r="G8855" s="92">
        <f>EXP($C$12+$C$8*_xlfn.NORM.S.INV(RAND()))</f>
        <v/>
      </c>
    </row>
    <row r="8856">
      <c r="F8856">
        <f>F8855+1</f>
        <v/>
      </c>
      <c r="G8856" s="92">
        <f>EXP($C$12+$C$8*_xlfn.NORM.S.INV(RAND()))</f>
        <v/>
      </c>
    </row>
    <row r="8857">
      <c r="F8857">
        <f>F8856+1</f>
        <v/>
      </c>
      <c r="G8857" s="92">
        <f>EXP($C$12+$C$8*_xlfn.NORM.S.INV(RAND()))</f>
        <v/>
      </c>
    </row>
    <row r="8858">
      <c r="F8858">
        <f>F8857+1</f>
        <v/>
      </c>
      <c r="G8858" s="92">
        <f>EXP($C$12+$C$8*_xlfn.NORM.S.INV(RAND()))</f>
        <v/>
      </c>
    </row>
    <row r="8859">
      <c r="F8859">
        <f>F8858+1</f>
        <v/>
      </c>
      <c r="G8859" s="92">
        <f>EXP($C$12+$C$8*_xlfn.NORM.S.INV(RAND()))</f>
        <v/>
      </c>
    </row>
    <row r="8860">
      <c r="F8860">
        <f>F8859+1</f>
        <v/>
      </c>
      <c r="G8860" s="92">
        <f>EXP($C$12+$C$8*_xlfn.NORM.S.INV(RAND()))</f>
        <v/>
      </c>
    </row>
    <row r="8861">
      <c r="F8861">
        <f>F8860+1</f>
        <v/>
      </c>
      <c r="G8861" s="92">
        <f>EXP($C$12+$C$8*_xlfn.NORM.S.INV(RAND()))</f>
        <v/>
      </c>
    </row>
    <row r="8862">
      <c r="F8862">
        <f>F8861+1</f>
        <v/>
      </c>
      <c r="G8862" s="92">
        <f>EXP($C$12+$C$8*_xlfn.NORM.S.INV(RAND()))</f>
        <v/>
      </c>
    </row>
    <row r="8863">
      <c r="F8863">
        <f>F8862+1</f>
        <v/>
      </c>
      <c r="G8863" s="92">
        <f>EXP($C$12+$C$8*_xlfn.NORM.S.INV(RAND()))</f>
        <v/>
      </c>
    </row>
    <row r="8864">
      <c r="F8864">
        <f>F8863+1</f>
        <v/>
      </c>
      <c r="G8864" s="92">
        <f>EXP($C$12+$C$8*_xlfn.NORM.S.INV(RAND()))</f>
        <v/>
      </c>
    </row>
    <row r="8865">
      <c r="F8865">
        <f>F8864+1</f>
        <v/>
      </c>
      <c r="G8865" s="92">
        <f>EXP($C$12+$C$8*_xlfn.NORM.S.INV(RAND()))</f>
        <v/>
      </c>
    </row>
    <row r="8866">
      <c r="F8866">
        <f>F8865+1</f>
        <v/>
      </c>
      <c r="G8866" s="92">
        <f>EXP($C$12+$C$8*_xlfn.NORM.S.INV(RAND()))</f>
        <v/>
      </c>
    </row>
    <row r="8867">
      <c r="F8867">
        <f>F8866+1</f>
        <v/>
      </c>
      <c r="G8867" s="92">
        <f>EXP($C$12+$C$8*_xlfn.NORM.S.INV(RAND()))</f>
        <v/>
      </c>
    </row>
    <row r="8868">
      <c r="F8868">
        <f>F8867+1</f>
        <v/>
      </c>
      <c r="G8868" s="92">
        <f>EXP($C$12+$C$8*_xlfn.NORM.S.INV(RAND()))</f>
        <v/>
      </c>
    </row>
    <row r="8869">
      <c r="F8869">
        <f>F8868+1</f>
        <v/>
      </c>
      <c r="G8869" s="92">
        <f>EXP($C$12+$C$8*_xlfn.NORM.S.INV(RAND()))</f>
        <v/>
      </c>
    </row>
    <row r="8870">
      <c r="F8870">
        <f>F8869+1</f>
        <v/>
      </c>
      <c r="G8870" s="92">
        <f>EXP($C$12+$C$8*_xlfn.NORM.S.INV(RAND()))</f>
        <v/>
      </c>
    </row>
    <row r="8871">
      <c r="F8871">
        <f>F8870+1</f>
        <v/>
      </c>
      <c r="G8871" s="92">
        <f>EXP($C$12+$C$8*_xlfn.NORM.S.INV(RAND()))</f>
        <v/>
      </c>
    </row>
    <row r="8872">
      <c r="F8872">
        <f>F8871+1</f>
        <v/>
      </c>
      <c r="G8872" s="92">
        <f>EXP($C$12+$C$8*_xlfn.NORM.S.INV(RAND()))</f>
        <v/>
      </c>
    </row>
    <row r="8873">
      <c r="F8873">
        <f>F8872+1</f>
        <v/>
      </c>
      <c r="G8873" s="92">
        <f>EXP($C$12+$C$8*_xlfn.NORM.S.INV(RAND()))</f>
        <v/>
      </c>
    </row>
    <row r="8874">
      <c r="F8874">
        <f>F8873+1</f>
        <v/>
      </c>
      <c r="G8874" s="92">
        <f>EXP($C$12+$C$8*_xlfn.NORM.S.INV(RAND()))</f>
        <v/>
      </c>
    </row>
    <row r="8875">
      <c r="F8875">
        <f>F8874+1</f>
        <v/>
      </c>
      <c r="G8875" s="92">
        <f>EXP($C$12+$C$8*_xlfn.NORM.S.INV(RAND()))</f>
        <v/>
      </c>
    </row>
    <row r="8876">
      <c r="F8876">
        <f>F8875+1</f>
        <v/>
      </c>
      <c r="G8876" s="92">
        <f>EXP($C$12+$C$8*_xlfn.NORM.S.INV(RAND()))</f>
        <v/>
      </c>
    </row>
    <row r="8877">
      <c r="F8877">
        <f>F8876+1</f>
        <v/>
      </c>
      <c r="G8877" s="92">
        <f>EXP($C$12+$C$8*_xlfn.NORM.S.INV(RAND()))</f>
        <v/>
      </c>
    </row>
    <row r="8878">
      <c r="F8878">
        <f>F8877+1</f>
        <v/>
      </c>
      <c r="G8878" s="92">
        <f>EXP($C$12+$C$8*_xlfn.NORM.S.INV(RAND()))</f>
        <v/>
      </c>
    </row>
    <row r="8879">
      <c r="F8879">
        <f>F8878+1</f>
        <v/>
      </c>
      <c r="G8879" s="92">
        <f>EXP($C$12+$C$8*_xlfn.NORM.S.INV(RAND()))</f>
        <v/>
      </c>
    </row>
    <row r="8880">
      <c r="F8880">
        <f>F8879+1</f>
        <v/>
      </c>
      <c r="G8880" s="92">
        <f>EXP($C$12+$C$8*_xlfn.NORM.S.INV(RAND()))</f>
        <v/>
      </c>
    </row>
    <row r="8881">
      <c r="F8881">
        <f>F8880+1</f>
        <v/>
      </c>
      <c r="G8881" s="92">
        <f>EXP($C$12+$C$8*_xlfn.NORM.S.INV(RAND()))</f>
        <v/>
      </c>
    </row>
    <row r="8882">
      <c r="F8882">
        <f>F8881+1</f>
        <v/>
      </c>
      <c r="G8882" s="92">
        <f>EXP($C$12+$C$8*_xlfn.NORM.S.INV(RAND()))</f>
        <v/>
      </c>
    </row>
    <row r="8883">
      <c r="F8883">
        <f>F8882+1</f>
        <v/>
      </c>
      <c r="G8883" s="92">
        <f>EXP($C$12+$C$8*_xlfn.NORM.S.INV(RAND()))</f>
        <v/>
      </c>
    </row>
    <row r="8884">
      <c r="F8884">
        <f>F8883+1</f>
        <v/>
      </c>
      <c r="G8884" s="92">
        <f>EXP($C$12+$C$8*_xlfn.NORM.S.INV(RAND()))</f>
        <v/>
      </c>
    </row>
    <row r="8885">
      <c r="F8885">
        <f>F8884+1</f>
        <v/>
      </c>
      <c r="G8885" s="92">
        <f>EXP($C$12+$C$8*_xlfn.NORM.S.INV(RAND()))</f>
        <v/>
      </c>
    </row>
    <row r="8886">
      <c r="F8886">
        <f>F8885+1</f>
        <v/>
      </c>
      <c r="G8886" s="92">
        <f>EXP($C$12+$C$8*_xlfn.NORM.S.INV(RAND()))</f>
        <v/>
      </c>
    </row>
    <row r="8887">
      <c r="F8887">
        <f>F8886+1</f>
        <v/>
      </c>
      <c r="G8887" s="92">
        <f>EXP($C$12+$C$8*_xlfn.NORM.S.INV(RAND()))</f>
        <v/>
      </c>
    </row>
    <row r="8888">
      <c r="F8888">
        <f>F8887+1</f>
        <v/>
      </c>
      <c r="G8888" s="92">
        <f>EXP($C$12+$C$8*_xlfn.NORM.S.INV(RAND()))</f>
        <v/>
      </c>
    </row>
    <row r="8889">
      <c r="F8889">
        <f>F8888+1</f>
        <v/>
      </c>
      <c r="G8889" s="92">
        <f>EXP($C$12+$C$8*_xlfn.NORM.S.INV(RAND()))</f>
        <v/>
      </c>
    </row>
    <row r="8890">
      <c r="F8890">
        <f>F8889+1</f>
        <v/>
      </c>
      <c r="G8890" s="92">
        <f>EXP($C$12+$C$8*_xlfn.NORM.S.INV(RAND()))</f>
        <v/>
      </c>
    </row>
    <row r="8891">
      <c r="F8891">
        <f>F8890+1</f>
        <v/>
      </c>
      <c r="G8891" s="92">
        <f>EXP($C$12+$C$8*_xlfn.NORM.S.INV(RAND()))</f>
        <v/>
      </c>
    </row>
    <row r="8892">
      <c r="F8892">
        <f>F8891+1</f>
        <v/>
      </c>
      <c r="G8892" s="92">
        <f>EXP($C$12+$C$8*_xlfn.NORM.S.INV(RAND()))</f>
        <v/>
      </c>
    </row>
    <row r="8893">
      <c r="F8893">
        <f>F8892+1</f>
        <v/>
      </c>
      <c r="G8893" s="92">
        <f>EXP($C$12+$C$8*_xlfn.NORM.S.INV(RAND()))</f>
        <v/>
      </c>
    </row>
    <row r="8894">
      <c r="F8894">
        <f>F8893+1</f>
        <v/>
      </c>
      <c r="G8894" s="92">
        <f>EXP($C$12+$C$8*_xlfn.NORM.S.INV(RAND()))</f>
        <v/>
      </c>
    </row>
    <row r="8895">
      <c r="F8895">
        <f>F8894+1</f>
        <v/>
      </c>
      <c r="G8895" s="92">
        <f>EXP($C$12+$C$8*_xlfn.NORM.S.INV(RAND()))</f>
        <v/>
      </c>
    </row>
    <row r="8896">
      <c r="F8896">
        <f>F8895+1</f>
        <v/>
      </c>
      <c r="G8896" s="92">
        <f>EXP($C$12+$C$8*_xlfn.NORM.S.INV(RAND()))</f>
        <v/>
      </c>
    </row>
    <row r="8897">
      <c r="F8897">
        <f>F8896+1</f>
        <v/>
      </c>
      <c r="G8897" s="92">
        <f>EXP($C$12+$C$8*_xlfn.NORM.S.INV(RAND()))</f>
        <v/>
      </c>
    </row>
    <row r="8898">
      <c r="F8898">
        <f>F8897+1</f>
        <v/>
      </c>
      <c r="G8898" s="92">
        <f>EXP($C$12+$C$8*_xlfn.NORM.S.INV(RAND()))</f>
        <v/>
      </c>
    </row>
    <row r="8899">
      <c r="F8899">
        <f>F8898+1</f>
        <v/>
      </c>
      <c r="G8899" s="92">
        <f>EXP($C$12+$C$8*_xlfn.NORM.S.INV(RAND()))</f>
        <v/>
      </c>
    </row>
    <row r="8900">
      <c r="F8900">
        <f>F8899+1</f>
        <v/>
      </c>
      <c r="G8900" s="92">
        <f>EXP($C$12+$C$8*_xlfn.NORM.S.INV(RAND()))</f>
        <v/>
      </c>
    </row>
    <row r="8901">
      <c r="F8901">
        <f>F8900+1</f>
        <v/>
      </c>
      <c r="G8901" s="92">
        <f>EXP($C$12+$C$8*_xlfn.NORM.S.INV(RAND()))</f>
        <v/>
      </c>
    </row>
    <row r="8902">
      <c r="F8902">
        <f>F8901+1</f>
        <v/>
      </c>
      <c r="G8902" s="92">
        <f>EXP($C$12+$C$8*_xlfn.NORM.S.INV(RAND()))</f>
        <v/>
      </c>
    </row>
    <row r="8903">
      <c r="F8903">
        <f>F8902+1</f>
        <v/>
      </c>
      <c r="G8903" s="92">
        <f>EXP($C$12+$C$8*_xlfn.NORM.S.INV(RAND()))</f>
        <v/>
      </c>
    </row>
    <row r="8904">
      <c r="F8904">
        <f>F8903+1</f>
        <v/>
      </c>
      <c r="G8904" s="92">
        <f>EXP($C$12+$C$8*_xlfn.NORM.S.INV(RAND()))</f>
        <v/>
      </c>
    </row>
    <row r="8905">
      <c r="F8905">
        <f>F8904+1</f>
        <v/>
      </c>
      <c r="G8905" s="92">
        <f>EXP($C$12+$C$8*_xlfn.NORM.S.INV(RAND()))</f>
        <v/>
      </c>
    </row>
    <row r="8906">
      <c r="F8906">
        <f>F8905+1</f>
        <v/>
      </c>
      <c r="G8906" s="92">
        <f>EXP($C$12+$C$8*_xlfn.NORM.S.INV(RAND()))</f>
        <v/>
      </c>
    </row>
    <row r="8907">
      <c r="F8907">
        <f>F8906+1</f>
        <v/>
      </c>
      <c r="G8907" s="92">
        <f>EXP($C$12+$C$8*_xlfn.NORM.S.INV(RAND()))</f>
        <v/>
      </c>
    </row>
    <row r="8908">
      <c r="F8908">
        <f>F8907+1</f>
        <v/>
      </c>
      <c r="G8908" s="92">
        <f>EXP($C$12+$C$8*_xlfn.NORM.S.INV(RAND()))</f>
        <v/>
      </c>
    </row>
    <row r="8909">
      <c r="F8909">
        <f>F8908+1</f>
        <v/>
      </c>
      <c r="G8909" s="92">
        <f>EXP($C$12+$C$8*_xlfn.NORM.S.INV(RAND()))</f>
        <v/>
      </c>
    </row>
    <row r="8910">
      <c r="F8910">
        <f>F8909+1</f>
        <v/>
      </c>
      <c r="G8910" s="92">
        <f>EXP($C$12+$C$8*_xlfn.NORM.S.INV(RAND()))</f>
        <v/>
      </c>
    </row>
    <row r="8911">
      <c r="F8911">
        <f>F8910+1</f>
        <v/>
      </c>
      <c r="G8911" s="92">
        <f>EXP($C$12+$C$8*_xlfn.NORM.S.INV(RAND()))</f>
        <v/>
      </c>
    </row>
    <row r="8912">
      <c r="F8912">
        <f>F8911+1</f>
        <v/>
      </c>
      <c r="G8912" s="92">
        <f>EXP($C$12+$C$8*_xlfn.NORM.S.INV(RAND()))</f>
        <v/>
      </c>
    </row>
    <row r="8913">
      <c r="F8913">
        <f>F8912+1</f>
        <v/>
      </c>
      <c r="G8913" s="92">
        <f>EXP($C$12+$C$8*_xlfn.NORM.S.INV(RAND()))</f>
        <v/>
      </c>
    </row>
    <row r="8914">
      <c r="F8914">
        <f>F8913+1</f>
        <v/>
      </c>
      <c r="G8914" s="92">
        <f>EXP($C$12+$C$8*_xlfn.NORM.S.INV(RAND()))</f>
        <v/>
      </c>
    </row>
    <row r="8915">
      <c r="F8915">
        <f>F8914+1</f>
        <v/>
      </c>
      <c r="G8915" s="92">
        <f>EXP($C$12+$C$8*_xlfn.NORM.S.INV(RAND()))</f>
        <v/>
      </c>
    </row>
    <row r="8916">
      <c r="F8916">
        <f>F8915+1</f>
        <v/>
      </c>
      <c r="G8916" s="92">
        <f>EXP($C$12+$C$8*_xlfn.NORM.S.INV(RAND()))</f>
        <v/>
      </c>
    </row>
    <row r="8917">
      <c r="F8917">
        <f>F8916+1</f>
        <v/>
      </c>
      <c r="G8917" s="92">
        <f>EXP($C$12+$C$8*_xlfn.NORM.S.INV(RAND()))</f>
        <v/>
      </c>
    </row>
    <row r="8918">
      <c r="F8918">
        <f>F8917+1</f>
        <v/>
      </c>
      <c r="G8918" s="92">
        <f>EXP($C$12+$C$8*_xlfn.NORM.S.INV(RAND()))</f>
        <v/>
      </c>
    </row>
    <row r="8919">
      <c r="F8919">
        <f>F8918+1</f>
        <v/>
      </c>
      <c r="G8919" s="92">
        <f>EXP($C$12+$C$8*_xlfn.NORM.S.INV(RAND()))</f>
        <v/>
      </c>
    </row>
    <row r="8920">
      <c r="F8920">
        <f>F8919+1</f>
        <v/>
      </c>
      <c r="G8920" s="92">
        <f>EXP($C$12+$C$8*_xlfn.NORM.S.INV(RAND()))</f>
        <v/>
      </c>
    </row>
    <row r="8921">
      <c r="F8921">
        <f>F8920+1</f>
        <v/>
      </c>
      <c r="G8921" s="92">
        <f>EXP($C$12+$C$8*_xlfn.NORM.S.INV(RAND()))</f>
        <v/>
      </c>
    </row>
    <row r="8922">
      <c r="F8922">
        <f>F8921+1</f>
        <v/>
      </c>
      <c r="G8922" s="92">
        <f>EXP($C$12+$C$8*_xlfn.NORM.S.INV(RAND()))</f>
        <v/>
      </c>
    </row>
    <row r="8923">
      <c r="F8923">
        <f>F8922+1</f>
        <v/>
      </c>
      <c r="G8923" s="92">
        <f>EXP($C$12+$C$8*_xlfn.NORM.S.INV(RAND()))</f>
        <v/>
      </c>
    </row>
    <row r="8924">
      <c r="F8924">
        <f>F8923+1</f>
        <v/>
      </c>
      <c r="G8924" s="92">
        <f>EXP($C$12+$C$8*_xlfn.NORM.S.INV(RAND()))</f>
        <v/>
      </c>
    </row>
    <row r="8925">
      <c r="F8925">
        <f>F8924+1</f>
        <v/>
      </c>
      <c r="G8925" s="92">
        <f>EXP($C$12+$C$8*_xlfn.NORM.S.INV(RAND()))</f>
        <v/>
      </c>
    </row>
    <row r="8926">
      <c r="F8926">
        <f>F8925+1</f>
        <v/>
      </c>
      <c r="G8926" s="92">
        <f>EXP($C$12+$C$8*_xlfn.NORM.S.INV(RAND()))</f>
        <v/>
      </c>
    </row>
    <row r="8927">
      <c r="F8927">
        <f>F8926+1</f>
        <v/>
      </c>
      <c r="G8927" s="92">
        <f>EXP($C$12+$C$8*_xlfn.NORM.S.INV(RAND()))</f>
        <v/>
      </c>
    </row>
    <row r="8928">
      <c r="F8928">
        <f>F8927+1</f>
        <v/>
      </c>
      <c r="G8928" s="92">
        <f>EXP($C$12+$C$8*_xlfn.NORM.S.INV(RAND()))</f>
        <v/>
      </c>
    </row>
    <row r="8929">
      <c r="F8929">
        <f>F8928+1</f>
        <v/>
      </c>
      <c r="G8929" s="92">
        <f>EXP($C$12+$C$8*_xlfn.NORM.S.INV(RAND()))</f>
        <v/>
      </c>
    </row>
    <row r="8930">
      <c r="F8930">
        <f>F8929+1</f>
        <v/>
      </c>
      <c r="G8930" s="92">
        <f>EXP($C$12+$C$8*_xlfn.NORM.S.INV(RAND()))</f>
        <v/>
      </c>
    </row>
    <row r="8931">
      <c r="F8931">
        <f>F8930+1</f>
        <v/>
      </c>
      <c r="G8931" s="92">
        <f>EXP($C$12+$C$8*_xlfn.NORM.S.INV(RAND()))</f>
        <v/>
      </c>
    </row>
    <row r="8932">
      <c r="F8932">
        <f>F8931+1</f>
        <v/>
      </c>
      <c r="G8932" s="92">
        <f>EXP($C$12+$C$8*_xlfn.NORM.S.INV(RAND()))</f>
        <v/>
      </c>
    </row>
    <row r="8933">
      <c r="F8933">
        <f>F8932+1</f>
        <v/>
      </c>
      <c r="G8933" s="92">
        <f>EXP($C$12+$C$8*_xlfn.NORM.S.INV(RAND()))</f>
        <v/>
      </c>
    </row>
    <row r="8934">
      <c r="F8934">
        <f>F8933+1</f>
        <v/>
      </c>
      <c r="G8934" s="92">
        <f>EXP($C$12+$C$8*_xlfn.NORM.S.INV(RAND()))</f>
        <v/>
      </c>
    </row>
    <row r="8935">
      <c r="F8935">
        <f>F8934+1</f>
        <v/>
      </c>
      <c r="G8935" s="92">
        <f>EXP($C$12+$C$8*_xlfn.NORM.S.INV(RAND()))</f>
        <v/>
      </c>
    </row>
    <row r="8936">
      <c r="F8936">
        <f>F8935+1</f>
        <v/>
      </c>
      <c r="G8936" s="92">
        <f>EXP($C$12+$C$8*_xlfn.NORM.S.INV(RAND()))</f>
        <v/>
      </c>
    </row>
    <row r="8937">
      <c r="F8937">
        <f>F8936+1</f>
        <v/>
      </c>
      <c r="G8937" s="92">
        <f>EXP($C$12+$C$8*_xlfn.NORM.S.INV(RAND()))</f>
        <v/>
      </c>
    </row>
    <row r="8938">
      <c r="F8938">
        <f>F8937+1</f>
        <v/>
      </c>
      <c r="G8938" s="92">
        <f>EXP($C$12+$C$8*_xlfn.NORM.S.INV(RAND()))</f>
        <v/>
      </c>
    </row>
    <row r="8939">
      <c r="F8939">
        <f>F8938+1</f>
        <v/>
      </c>
      <c r="G8939" s="92">
        <f>EXP($C$12+$C$8*_xlfn.NORM.S.INV(RAND()))</f>
        <v/>
      </c>
    </row>
    <row r="8940">
      <c r="F8940">
        <f>F8939+1</f>
        <v/>
      </c>
      <c r="G8940" s="92">
        <f>EXP($C$12+$C$8*_xlfn.NORM.S.INV(RAND()))</f>
        <v/>
      </c>
    </row>
    <row r="8941">
      <c r="F8941">
        <f>F8940+1</f>
        <v/>
      </c>
      <c r="G8941" s="92">
        <f>EXP($C$12+$C$8*_xlfn.NORM.S.INV(RAND()))</f>
        <v/>
      </c>
    </row>
    <row r="8942">
      <c r="F8942">
        <f>F8941+1</f>
        <v/>
      </c>
      <c r="G8942" s="92">
        <f>EXP($C$12+$C$8*_xlfn.NORM.S.INV(RAND()))</f>
        <v/>
      </c>
    </row>
    <row r="8943">
      <c r="F8943">
        <f>F8942+1</f>
        <v/>
      </c>
      <c r="G8943" s="92">
        <f>EXP($C$12+$C$8*_xlfn.NORM.S.INV(RAND()))</f>
        <v/>
      </c>
    </row>
    <row r="8944">
      <c r="F8944">
        <f>F8943+1</f>
        <v/>
      </c>
      <c r="G8944" s="92">
        <f>EXP($C$12+$C$8*_xlfn.NORM.S.INV(RAND()))</f>
        <v/>
      </c>
    </row>
    <row r="8945">
      <c r="F8945">
        <f>F8944+1</f>
        <v/>
      </c>
      <c r="G8945" s="92">
        <f>EXP($C$12+$C$8*_xlfn.NORM.S.INV(RAND()))</f>
        <v/>
      </c>
    </row>
    <row r="8946">
      <c r="F8946">
        <f>F8945+1</f>
        <v/>
      </c>
      <c r="G8946" s="92">
        <f>EXP($C$12+$C$8*_xlfn.NORM.S.INV(RAND()))</f>
        <v/>
      </c>
    </row>
    <row r="8947">
      <c r="F8947">
        <f>F8946+1</f>
        <v/>
      </c>
      <c r="G8947" s="92">
        <f>EXP($C$12+$C$8*_xlfn.NORM.S.INV(RAND()))</f>
        <v/>
      </c>
    </row>
    <row r="8948">
      <c r="F8948">
        <f>F8947+1</f>
        <v/>
      </c>
      <c r="G8948" s="92">
        <f>EXP($C$12+$C$8*_xlfn.NORM.S.INV(RAND()))</f>
        <v/>
      </c>
    </row>
    <row r="8949">
      <c r="F8949">
        <f>F8948+1</f>
        <v/>
      </c>
      <c r="G8949" s="92">
        <f>EXP($C$12+$C$8*_xlfn.NORM.S.INV(RAND()))</f>
        <v/>
      </c>
    </row>
    <row r="8950">
      <c r="F8950">
        <f>F8949+1</f>
        <v/>
      </c>
      <c r="G8950" s="92">
        <f>EXP($C$12+$C$8*_xlfn.NORM.S.INV(RAND()))</f>
        <v/>
      </c>
    </row>
    <row r="8951">
      <c r="F8951">
        <f>F8950+1</f>
        <v/>
      </c>
      <c r="G8951" s="92">
        <f>EXP($C$12+$C$8*_xlfn.NORM.S.INV(RAND()))</f>
        <v/>
      </c>
    </row>
    <row r="8952">
      <c r="F8952">
        <f>F8951+1</f>
        <v/>
      </c>
      <c r="G8952" s="92">
        <f>EXP($C$12+$C$8*_xlfn.NORM.S.INV(RAND()))</f>
        <v/>
      </c>
    </row>
    <row r="8953">
      <c r="F8953">
        <f>F8952+1</f>
        <v/>
      </c>
      <c r="G8953" s="92">
        <f>EXP($C$12+$C$8*_xlfn.NORM.S.INV(RAND()))</f>
        <v/>
      </c>
    </row>
    <row r="8954">
      <c r="F8954">
        <f>F8953+1</f>
        <v/>
      </c>
      <c r="G8954" s="92">
        <f>EXP($C$12+$C$8*_xlfn.NORM.S.INV(RAND()))</f>
        <v/>
      </c>
    </row>
    <row r="8955">
      <c r="F8955">
        <f>F8954+1</f>
        <v/>
      </c>
      <c r="G8955" s="92">
        <f>EXP($C$12+$C$8*_xlfn.NORM.S.INV(RAND()))</f>
        <v/>
      </c>
    </row>
    <row r="8956">
      <c r="F8956">
        <f>F8955+1</f>
        <v/>
      </c>
      <c r="G8956" s="92">
        <f>EXP($C$12+$C$8*_xlfn.NORM.S.INV(RAND()))</f>
        <v/>
      </c>
    </row>
    <row r="8957">
      <c r="F8957">
        <f>F8956+1</f>
        <v/>
      </c>
      <c r="G8957" s="92">
        <f>EXP($C$12+$C$8*_xlfn.NORM.S.INV(RAND()))</f>
        <v/>
      </c>
    </row>
    <row r="8958">
      <c r="F8958">
        <f>F8957+1</f>
        <v/>
      </c>
      <c r="G8958" s="92">
        <f>EXP($C$12+$C$8*_xlfn.NORM.S.INV(RAND()))</f>
        <v/>
      </c>
    </row>
    <row r="8959">
      <c r="F8959">
        <f>F8958+1</f>
        <v/>
      </c>
      <c r="G8959" s="92">
        <f>EXP($C$12+$C$8*_xlfn.NORM.S.INV(RAND()))</f>
        <v/>
      </c>
    </row>
    <row r="8960">
      <c r="F8960">
        <f>F8959+1</f>
        <v/>
      </c>
      <c r="G8960" s="92">
        <f>EXP($C$12+$C$8*_xlfn.NORM.S.INV(RAND()))</f>
        <v/>
      </c>
    </row>
    <row r="8961">
      <c r="F8961">
        <f>F8960+1</f>
        <v/>
      </c>
      <c r="G8961" s="92">
        <f>EXP($C$12+$C$8*_xlfn.NORM.S.INV(RAND()))</f>
        <v/>
      </c>
    </row>
    <row r="8962">
      <c r="F8962">
        <f>F8961+1</f>
        <v/>
      </c>
      <c r="G8962" s="92">
        <f>EXP($C$12+$C$8*_xlfn.NORM.S.INV(RAND()))</f>
        <v/>
      </c>
    </row>
    <row r="8963">
      <c r="F8963">
        <f>F8962+1</f>
        <v/>
      </c>
      <c r="G8963" s="92">
        <f>EXP($C$12+$C$8*_xlfn.NORM.S.INV(RAND()))</f>
        <v/>
      </c>
    </row>
    <row r="8964">
      <c r="F8964">
        <f>F8963+1</f>
        <v/>
      </c>
      <c r="G8964" s="92">
        <f>EXP($C$12+$C$8*_xlfn.NORM.S.INV(RAND()))</f>
        <v/>
      </c>
    </row>
    <row r="8965">
      <c r="F8965">
        <f>F8964+1</f>
        <v/>
      </c>
      <c r="G8965" s="92">
        <f>EXP($C$12+$C$8*_xlfn.NORM.S.INV(RAND()))</f>
        <v/>
      </c>
    </row>
    <row r="8966">
      <c r="F8966">
        <f>F8965+1</f>
        <v/>
      </c>
      <c r="G8966" s="92">
        <f>EXP($C$12+$C$8*_xlfn.NORM.S.INV(RAND()))</f>
        <v/>
      </c>
    </row>
    <row r="8967">
      <c r="F8967">
        <f>F8966+1</f>
        <v/>
      </c>
      <c r="G8967" s="92">
        <f>EXP($C$12+$C$8*_xlfn.NORM.S.INV(RAND()))</f>
        <v/>
      </c>
    </row>
    <row r="8968">
      <c r="F8968">
        <f>F8967+1</f>
        <v/>
      </c>
      <c r="G8968" s="92">
        <f>EXP($C$12+$C$8*_xlfn.NORM.S.INV(RAND()))</f>
        <v/>
      </c>
    </row>
    <row r="8969">
      <c r="F8969">
        <f>F8968+1</f>
        <v/>
      </c>
      <c r="G8969" s="92">
        <f>EXP($C$12+$C$8*_xlfn.NORM.S.INV(RAND()))</f>
        <v/>
      </c>
    </row>
    <row r="8970">
      <c r="F8970">
        <f>F8969+1</f>
        <v/>
      </c>
      <c r="G8970" s="92">
        <f>EXP($C$12+$C$8*_xlfn.NORM.S.INV(RAND()))</f>
        <v/>
      </c>
    </row>
    <row r="8971">
      <c r="F8971">
        <f>F8970+1</f>
        <v/>
      </c>
      <c r="G8971" s="92">
        <f>EXP($C$12+$C$8*_xlfn.NORM.S.INV(RAND()))</f>
        <v/>
      </c>
    </row>
    <row r="8972">
      <c r="F8972">
        <f>F8971+1</f>
        <v/>
      </c>
      <c r="G8972" s="92">
        <f>EXP($C$12+$C$8*_xlfn.NORM.S.INV(RAND()))</f>
        <v/>
      </c>
    </row>
    <row r="8973">
      <c r="F8973">
        <f>F8972+1</f>
        <v/>
      </c>
      <c r="G8973" s="92">
        <f>EXP($C$12+$C$8*_xlfn.NORM.S.INV(RAND()))</f>
        <v/>
      </c>
    </row>
    <row r="8974">
      <c r="F8974">
        <f>F8973+1</f>
        <v/>
      </c>
      <c r="G8974" s="92">
        <f>EXP($C$12+$C$8*_xlfn.NORM.S.INV(RAND()))</f>
        <v/>
      </c>
    </row>
    <row r="8975">
      <c r="F8975">
        <f>F8974+1</f>
        <v/>
      </c>
      <c r="G8975" s="92">
        <f>EXP($C$12+$C$8*_xlfn.NORM.S.INV(RAND()))</f>
        <v/>
      </c>
    </row>
    <row r="8976">
      <c r="F8976">
        <f>F8975+1</f>
        <v/>
      </c>
      <c r="G8976" s="92">
        <f>EXP($C$12+$C$8*_xlfn.NORM.S.INV(RAND()))</f>
        <v/>
      </c>
    </row>
    <row r="8977">
      <c r="F8977">
        <f>F8976+1</f>
        <v/>
      </c>
      <c r="G8977" s="92">
        <f>EXP($C$12+$C$8*_xlfn.NORM.S.INV(RAND()))</f>
        <v/>
      </c>
    </row>
    <row r="8978">
      <c r="F8978">
        <f>F8977+1</f>
        <v/>
      </c>
      <c r="G8978" s="92">
        <f>EXP($C$12+$C$8*_xlfn.NORM.S.INV(RAND()))</f>
        <v/>
      </c>
    </row>
    <row r="8979">
      <c r="F8979">
        <f>F8978+1</f>
        <v/>
      </c>
      <c r="G8979" s="92">
        <f>EXP($C$12+$C$8*_xlfn.NORM.S.INV(RAND()))</f>
        <v/>
      </c>
    </row>
    <row r="8980">
      <c r="F8980">
        <f>F8979+1</f>
        <v/>
      </c>
      <c r="G8980" s="92">
        <f>EXP($C$12+$C$8*_xlfn.NORM.S.INV(RAND()))</f>
        <v/>
      </c>
    </row>
    <row r="8981">
      <c r="F8981">
        <f>F8980+1</f>
        <v/>
      </c>
      <c r="G8981" s="92">
        <f>EXP($C$12+$C$8*_xlfn.NORM.S.INV(RAND()))</f>
        <v/>
      </c>
    </row>
    <row r="8982">
      <c r="F8982">
        <f>F8981+1</f>
        <v/>
      </c>
      <c r="G8982" s="92">
        <f>EXP($C$12+$C$8*_xlfn.NORM.S.INV(RAND()))</f>
        <v/>
      </c>
    </row>
    <row r="8983">
      <c r="F8983">
        <f>F8982+1</f>
        <v/>
      </c>
      <c r="G8983" s="92">
        <f>EXP($C$12+$C$8*_xlfn.NORM.S.INV(RAND()))</f>
        <v/>
      </c>
    </row>
    <row r="8984">
      <c r="F8984">
        <f>F8983+1</f>
        <v/>
      </c>
      <c r="G8984" s="92">
        <f>EXP($C$12+$C$8*_xlfn.NORM.S.INV(RAND()))</f>
        <v/>
      </c>
    </row>
    <row r="8985">
      <c r="F8985">
        <f>F8984+1</f>
        <v/>
      </c>
      <c r="G8985" s="92">
        <f>EXP($C$12+$C$8*_xlfn.NORM.S.INV(RAND()))</f>
        <v/>
      </c>
    </row>
    <row r="8986">
      <c r="F8986">
        <f>F8985+1</f>
        <v/>
      </c>
      <c r="G8986" s="92">
        <f>EXP($C$12+$C$8*_xlfn.NORM.S.INV(RAND()))</f>
        <v/>
      </c>
    </row>
    <row r="8987">
      <c r="F8987">
        <f>F8986+1</f>
        <v/>
      </c>
      <c r="G8987" s="92">
        <f>EXP($C$12+$C$8*_xlfn.NORM.S.INV(RAND()))</f>
        <v/>
      </c>
    </row>
    <row r="8988">
      <c r="F8988">
        <f>F8987+1</f>
        <v/>
      </c>
      <c r="G8988" s="92">
        <f>EXP($C$12+$C$8*_xlfn.NORM.S.INV(RAND()))</f>
        <v/>
      </c>
    </row>
    <row r="8989">
      <c r="F8989">
        <f>F8988+1</f>
        <v/>
      </c>
      <c r="G8989" s="92">
        <f>EXP($C$12+$C$8*_xlfn.NORM.S.INV(RAND()))</f>
        <v/>
      </c>
    </row>
    <row r="8990">
      <c r="F8990">
        <f>F8989+1</f>
        <v/>
      </c>
      <c r="G8990" s="92">
        <f>EXP($C$12+$C$8*_xlfn.NORM.S.INV(RAND()))</f>
        <v/>
      </c>
    </row>
    <row r="8991">
      <c r="F8991">
        <f>F8990+1</f>
        <v/>
      </c>
      <c r="G8991" s="92">
        <f>EXP($C$12+$C$8*_xlfn.NORM.S.INV(RAND()))</f>
        <v/>
      </c>
    </row>
    <row r="8992">
      <c r="F8992">
        <f>F8991+1</f>
        <v/>
      </c>
      <c r="G8992" s="92">
        <f>EXP($C$12+$C$8*_xlfn.NORM.S.INV(RAND()))</f>
        <v/>
      </c>
    </row>
    <row r="8993">
      <c r="F8993">
        <f>F8992+1</f>
        <v/>
      </c>
      <c r="G8993" s="92">
        <f>EXP($C$12+$C$8*_xlfn.NORM.S.INV(RAND()))</f>
        <v/>
      </c>
    </row>
    <row r="8994">
      <c r="F8994">
        <f>F8993+1</f>
        <v/>
      </c>
      <c r="G8994" s="92">
        <f>EXP($C$12+$C$8*_xlfn.NORM.S.INV(RAND()))</f>
        <v/>
      </c>
    </row>
    <row r="8995">
      <c r="F8995">
        <f>F8994+1</f>
        <v/>
      </c>
      <c r="G8995" s="92">
        <f>EXP($C$12+$C$8*_xlfn.NORM.S.INV(RAND()))</f>
        <v/>
      </c>
    </row>
    <row r="8996">
      <c r="F8996">
        <f>F8995+1</f>
        <v/>
      </c>
      <c r="G8996" s="92">
        <f>EXP($C$12+$C$8*_xlfn.NORM.S.INV(RAND()))</f>
        <v/>
      </c>
    </row>
    <row r="8997">
      <c r="F8997">
        <f>F8996+1</f>
        <v/>
      </c>
      <c r="G8997" s="92">
        <f>EXP($C$12+$C$8*_xlfn.NORM.S.INV(RAND()))</f>
        <v/>
      </c>
    </row>
    <row r="8998">
      <c r="F8998">
        <f>F8997+1</f>
        <v/>
      </c>
      <c r="G8998" s="92">
        <f>EXP($C$12+$C$8*_xlfn.NORM.S.INV(RAND()))</f>
        <v/>
      </c>
    </row>
    <row r="8999">
      <c r="F8999">
        <f>F8998+1</f>
        <v/>
      </c>
      <c r="G8999" s="92">
        <f>EXP($C$12+$C$8*_xlfn.NORM.S.INV(RAND()))</f>
        <v/>
      </c>
    </row>
    <row r="9000">
      <c r="F9000">
        <f>F8999+1</f>
        <v/>
      </c>
      <c r="G9000" s="92">
        <f>EXP($C$12+$C$8*_xlfn.NORM.S.INV(RAND()))</f>
        <v/>
      </c>
    </row>
    <row r="9001">
      <c r="F9001">
        <f>F9000+1</f>
        <v/>
      </c>
      <c r="G9001" s="92">
        <f>EXP($C$12+$C$8*_xlfn.NORM.S.INV(RAND()))</f>
        <v/>
      </c>
    </row>
    <row r="9002">
      <c r="F9002">
        <f>F9001+1</f>
        <v/>
      </c>
      <c r="G9002" s="92">
        <f>EXP($C$12+$C$8*_xlfn.NORM.S.INV(RAND()))</f>
        <v/>
      </c>
    </row>
    <row r="9003">
      <c r="F9003">
        <f>F9002+1</f>
        <v/>
      </c>
      <c r="G9003" s="92">
        <f>EXP($C$12+$C$8*_xlfn.NORM.S.INV(RAND()))</f>
        <v/>
      </c>
    </row>
    <row r="9004">
      <c r="F9004">
        <f>F9003+1</f>
        <v/>
      </c>
      <c r="G9004" s="92">
        <f>EXP($C$12+$C$8*_xlfn.NORM.S.INV(RAND()))</f>
        <v/>
      </c>
    </row>
    <row r="9005">
      <c r="F9005">
        <f>F9004+1</f>
        <v/>
      </c>
      <c r="G9005" s="92">
        <f>EXP($C$12+$C$8*_xlfn.NORM.S.INV(RAND()))</f>
        <v/>
      </c>
    </row>
    <row r="9006">
      <c r="F9006">
        <f>F9005+1</f>
        <v/>
      </c>
      <c r="G9006" s="92">
        <f>EXP($C$12+$C$8*_xlfn.NORM.S.INV(RAND()))</f>
        <v/>
      </c>
    </row>
    <row r="9007">
      <c r="F9007">
        <f>F9006+1</f>
        <v/>
      </c>
      <c r="G9007" s="92">
        <f>EXP($C$12+$C$8*_xlfn.NORM.S.INV(RAND()))</f>
        <v/>
      </c>
    </row>
    <row r="9008">
      <c r="F9008">
        <f>F9007+1</f>
        <v/>
      </c>
      <c r="G9008" s="92">
        <f>EXP($C$12+$C$8*_xlfn.NORM.S.INV(RAND()))</f>
        <v/>
      </c>
    </row>
    <row r="9009">
      <c r="F9009">
        <f>F9008+1</f>
        <v/>
      </c>
      <c r="G9009" s="92">
        <f>EXP($C$12+$C$8*_xlfn.NORM.S.INV(RAND()))</f>
        <v/>
      </c>
    </row>
    <row r="9010">
      <c r="F9010">
        <f>F9009+1</f>
        <v/>
      </c>
      <c r="G9010" s="92">
        <f>EXP($C$12+$C$8*_xlfn.NORM.S.INV(RAND()))</f>
        <v/>
      </c>
    </row>
    <row r="9011">
      <c r="F9011">
        <f>F9010+1</f>
        <v/>
      </c>
      <c r="G9011" s="92">
        <f>EXP($C$12+$C$8*_xlfn.NORM.S.INV(RAND()))</f>
        <v/>
      </c>
    </row>
    <row r="9012">
      <c r="F9012">
        <f>F9011+1</f>
        <v/>
      </c>
      <c r="G9012" s="92">
        <f>EXP($C$12+$C$8*_xlfn.NORM.S.INV(RAND()))</f>
        <v/>
      </c>
    </row>
    <row r="9013">
      <c r="F9013">
        <f>F9012+1</f>
        <v/>
      </c>
      <c r="G9013" s="92">
        <f>EXP($C$12+$C$8*_xlfn.NORM.S.INV(RAND()))</f>
        <v/>
      </c>
    </row>
    <row r="9014">
      <c r="F9014">
        <f>F9013+1</f>
        <v/>
      </c>
      <c r="G9014" s="92">
        <f>EXP($C$12+$C$8*_xlfn.NORM.S.INV(RAND()))</f>
        <v/>
      </c>
    </row>
    <row r="9015">
      <c r="F9015">
        <f>F9014+1</f>
        <v/>
      </c>
      <c r="G9015" s="92">
        <f>EXP($C$12+$C$8*_xlfn.NORM.S.INV(RAND()))</f>
        <v/>
      </c>
    </row>
    <row r="9016">
      <c r="F9016">
        <f>F9015+1</f>
        <v/>
      </c>
      <c r="G9016" s="92">
        <f>EXP($C$12+$C$8*_xlfn.NORM.S.INV(RAND()))</f>
        <v/>
      </c>
    </row>
    <row r="9017">
      <c r="F9017">
        <f>F9016+1</f>
        <v/>
      </c>
      <c r="G9017" s="92">
        <f>EXP($C$12+$C$8*_xlfn.NORM.S.INV(RAND()))</f>
        <v/>
      </c>
    </row>
    <row r="9018">
      <c r="F9018">
        <f>F9017+1</f>
        <v/>
      </c>
      <c r="G9018" s="92">
        <f>EXP($C$12+$C$8*_xlfn.NORM.S.INV(RAND()))</f>
        <v/>
      </c>
    </row>
    <row r="9019">
      <c r="F9019">
        <f>F9018+1</f>
        <v/>
      </c>
      <c r="G9019" s="92">
        <f>EXP($C$12+$C$8*_xlfn.NORM.S.INV(RAND()))</f>
        <v/>
      </c>
    </row>
    <row r="9020">
      <c r="F9020">
        <f>F9019+1</f>
        <v/>
      </c>
      <c r="G9020" s="92">
        <f>EXP($C$12+$C$8*_xlfn.NORM.S.INV(RAND()))</f>
        <v/>
      </c>
    </row>
    <row r="9021">
      <c r="F9021">
        <f>F9020+1</f>
        <v/>
      </c>
      <c r="G9021" s="92">
        <f>EXP($C$12+$C$8*_xlfn.NORM.S.INV(RAND()))</f>
        <v/>
      </c>
    </row>
    <row r="9022">
      <c r="F9022">
        <f>F9021+1</f>
        <v/>
      </c>
      <c r="G9022" s="92">
        <f>EXP($C$12+$C$8*_xlfn.NORM.S.INV(RAND()))</f>
        <v/>
      </c>
    </row>
    <row r="9023">
      <c r="F9023">
        <f>F9022+1</f>
        <v/>
      </c>
      <c r="G9023" s="92">
        <f>EXP($C$12+$C$8*_xlfn.NORM.S.INV(RAND()))</f>
        <v/>
      </c>
    </row>
    <row r="9024">
      <c r="F9024">
        <f>F9023+1</f>
        <v/>
      </c>
      <c r="G9024" s="92">
        <f>EXP($C$12+$C$8*_xlfn.NORM.S.INV(RAND()))</f>
        <v/>
      </c>
    </row>
    <row r="9025">
      <c r="F9025">
        <f>F9024+1</f>
        <v/>
      </c>
      <c r="G9025" s="92">
        <f>EXP($C$12+$C$8*_xlfn.NORM.S.INV(RAND()))</f>
        <v/>
      </c>
    </row>
    <row r="9026">
      <c r="F9026">
        <f>F9025+1</f>
        <v/>
      </c>
      <c r="G9026" s="92">
        <f>EXP($C$12+$C$8*_xlfn.NORM.S.INV(RAND()))</f>
        <v/>
      </c>
    </row>
    <row r="9027">
      <c r="F9027">
        <f>F9026+1</f>
        <v/>
      </c>
      <c r="G9027" s="92">
        <f>EXP($C$12+$C$8*_xlfn.NORM.S.INV(RAND()))</f>
        <v/>
      </c>
    </row>
    <row r="9028">
      <c r="F9028">
        <f>F9027+1</f>
        <v/>
      </c>
      <c r="G9028" s="92">
        <f>EXP($C$12+$C$8*_xlfn.NORM.S.INV(RAND()))</f>
        <v/>
      </c>
    </row>
    <row r="9029">
      <c r="F9029">
        <f>F9028+1</f>
        <v/>
      </c>
      <c r="G9029" s="92">
        <f>EXP($C$12+$C$8*_xlfn.NORM.S.INV(RAND()))</f>
        <v/>
      </c>
    </row>
    <row r="9030">
      <c r="F9030">
        <f>F9029+1</f>
        <v/>
      </c>
      <c r="G9030" s="92">
        <f>EXP($C$12+$C$8*_xlfn.NORM.S.INV(RAND()))</f>
        <v/>
      </c>
    </row>
    <row r="9031">
      <c r="F9031">
        <f>F9030+1</f>
        <v/>
      </c>
      <c r="G9031" s="92">
        <f>EXP($C$12+$C$8*_xlfn.NORM.S.INV(RAND()))</f>
        <v/>
      </c>
    </row>
    <row r="9032">
      <c r="F9032">
        <f>F9031+1</f>
        <v/>
      </c>
      <c r="G9032" s="92">
        <f>EXP($C$12+$C$8*_xlfn.NORM.S.INV(RAND()))</f>
        <v/>
      </c>
    </row>
    <row r="9033">
      <c r="F9033">
        <f>F9032+1</f>
        <v/>
      </c>
      <c r="G9033" s="92">
        <f>EXP($C$12+$C$8*_xlfn.NORM.S.INV(RAND()))</f>
        <v/>
      </c>
    </row>
    <row r="9034">
      <c r="F9034">
        <f>F9033+1</f>
        <v/>
      </c>
      <c r="G9034" s="92">
        <f>EXP($C$12+$C$8*_xlfn.NORM.S.INV(RAND()))</f>
        <v/>
      </c>
    </row>
    <row r="9035">
      <c r="F9035">
        <f>F9034+1</f>
        <v/>
      </c>
      <c r="G9035" s="92">
        <f>EXP($C$12+$C$8*_xlfn.NORM.S.INV(RAND()))</f>
        <v/>
      </c>
    </row>
    <row r="9036">
      <c r="F9036">
        <f>F9035+1</f>
        <v/>
      </c>
      <c r="G9036" s="92">
        <f>EXP($C$12+$C$8*_xlfn.NORM.S.INV(RAND()))</f>
        <v/>
      </c>
    </row>
    <row r="9037">
      <c r="F9037">
        <f>F9036+1</f>
        <v/>
      </c>
      <c r="G9037" s="92">
        <f>EXP($C$12+$C$8*_xlfn.NORM.S.INV(RAND()))</f>
        <v/>
      </c>
    </row>
    <row r="9038">
      <c r="F9038">
        <f>F9037+1</f>
        <v/>
      </c>
      <c r="G9038" s="92">
        <f>EXP($C$12+$C$8*_xlfn.NORM.S.INV(RAND()))</f>
        <v/>
      </c>
    </row>
    <row r="9039">
      <c r="F9039">
        <f>F9038+1</f>
        <v/>
      </c>
      <c r="G9039" s="92">
        <f>EXP($C$12+$C$8*_xlfn.NORM.S.INV(RAND()))</f>
        <v/>
      </c>
    </row>
    <row r="9040">
      <c r="F9040">
        <f>F9039+1</f>
        <v/>
      </c>
      <c r="G9040" s="92">
        <f>EXP($C$12+$C$8*_xlfn.NORM.S.INV(RAND()))</f>
        <v/>
      </c>
    </row>
    <row r="9041">
      <c r="F9041">
        <f>F9040+1</f>
        <v/>
      </c>
      <c r="G9041" s="92">
        <f>EXP($C$12+$C$8*_xlfn.NORM.S.INV(RAND()))</f>
        <v/>
      </c>
    </row>
    <row r="9042">
      <c r="F9042">
        <f>F9041+1</f>
        <v/>
      </c>
      <c r="G9042" s="92">
        <f>EXP($C$12+$C$8*_xlfn.NORM.S.INV(RAND()))</f>
        <v/>
      </c>
    </row>
    <row r="9043">
      <c r="F9043">
        <f>F9042+1</f>
        <v/>
      </c>
      <c r="G9043" s="92">
        <f>EXP($C$12+$C$8*_xlfn.NORM.S.INV(RAND()))</f>
        <v/>
      </c>
    </row>
    <row r="9044">
      <c r="F9044">
        <f>F9043+1</f>
        <v/>
      </c>
      <c r="G9044" s="92">
        <f>EXP($C$12+$C$8*_xlfn.NORM.S.INV(RAND()))</f>
        <v/>
      </c>
    </row>
    <row r="9045">
      <c r="F9045">
        <f>F9044+1</f>
        <v/>
      </c>
      <c r="G9045" s="92">
        <f>EXP($C$12+$C$8*_xlfn.NORM.S.INV(RAND()))</f>
        <v/>
      </c>
    </row>
    <row r="9046">
      <c r="F9046">
        <f>F9045+1</f>
        <v/>
      </c>
      <c r="G9046" s="92">
        <f>EXP($C$12+$C$8*_xlfn.NORM.S.INV(RAND()))</f>
        <v/>
      </c>
    </row>
    <row r="9047">
      <c r="F9047">
        <f>F9046+1</f>
        <v/>
      </c>
      <c r="G9047" s="92">
        <f>EXP($C$12+$C$8*_xlfn.NORM.S.INV(RAND()))</f>
        <v/>
      </c>
    </row>
    <row r="9048">
      <c r="F9048">
        <f>F9047+1</f>
        <v/>
      </c>
      <c r="G9048" s="92">
        <f>EXP($C$12+$C$8*_xlfn.NORM.S.INV(RAND()))</f>
        <v/>
      </c>
    </row>
    <row r="9049">
      <c r="F9049">
        <f>F9048+1</f>
        <v/>
      </c>
      <c r="G9049" s="92">
        <f>EXP($C$12+$C$8*_xlfn.NORM.S.INV(RAND()))</f>
        <v/>
      </c>
    </row>
    <row r="9050">
      <c r="F9050">
        <f>F9049+1</f>
        <v/>
      </c>
      <c r="G9050" s="92">
        <f>EXP($C$12+$C$8*_xlfn.NORM.S.INV(RAND()))</f>
        <v/>
      </c>
    </row>
    <row r="9051">
      <c r="F9051">
        <f>F9050+1</f>
        <v/>
      </c>
      <c r="G9051" s="92">
        <f>EXP($C$12+$C$8*_xlfn.NORM.S.INV(RAND()))</f>
        <v/>
      </c>
    </row>
    <row r="9052">
      <c r="F9052">
        <f>F9051+1</f>
        <v/>
      </c>
      <c r="G9052" s="92">
        <f>EXP($C$12+$C$8*_xlfn.NORM.S.INV(RAND()))</f>
        <v/>
      </c>
    </row>
    <row r="9053">
      <c r="F9053">
        <f>F9052+1</f>
        <v/>
      </c>
      <c r="G9053" s="92">
        <f>EXP($C$12+$C$8*_xlfn.NORM.S.INV(RAND()))</f>
        <v/>
      </c>
    </row>
    <row r="9054">
      <c r="F9054">
        <f>F9053+1</f>
        <v/>
      </c>
      <c r="G9054" s="92">
        <f>EXP($C$12+$C$8*_xlfn.NORM.S.INV(RAND()))</f>
        <v/>
      </c>
    </row>
    <row r="9055">
      <c r="F9055">
        <f>F9054+1</f>
        <v/>
      </c>
      <c r="G9055" s="92">
        <f>EXP($C$12+$C$8*_xlfn.NORM.S.INV(RAND()))</f>
        <v/>
      </c>
    </row>
    <row r="9056">
      <c r="F9056">
        <f>F9055+1</f>
        <v/>
      </c>
      <c r="G9056" s="92">
        <f>EXP($C$12+$C$8*_xlfn.NORM.S.INV(RAND()))</f>
        <v/>
      </c>
    </row>
    <row r="9057">
      <c r="F9057">
        <f>F9056+1</f>
        <v/>
      </c>
      <c r="G9057" s="92">
        <f>EXP($C$12+$C$8*_xlfn.NORM.S.INV(RAND()))</f>
        <v/>
      </c>
    </row>
    <row r="9058">
      <c r="F9058">
        <f>F9057+1</f>
        <v/>
      </c>
      <c r="G9058" s="92">
        <f>EXP($C$12+$C$8*_xlfn.NORM.S.INV(RAND()))</f>
        <v/>
      </c>
    </row>
    <row r="9059">
      <c r="F9059">
        <f>F9058+1</f>
        <v/>
      </c>
      <c r="G9059" s="92">
        <f>EXP($C$12+$C$8*_xlfn.NORM.S.INV(RAND()))</f>
        <v/>
      </c>
    </row>
    <row r="9060">
      <c r="F9060">
        <f>F9059+1</f>
        <v/>
      </c>
      <c r="G9060" s="92">
        <f>EXP($C$12+$C$8*_xlfn.NORM.S.INV(RAND()))</f>
        <v/>
      </c>
    </row>
    <row r="9061">
      <c r="F9061">
        <f>F9060+1</f>
        <v/>
      </c>
      <c r="G9061" s="92">
        <f>EXP($C$12+$C$8*_xlfn.NORM.S.INV(RAND()))</f>
        <v/>
      </c>
    </row>
    <row r="9062">
      <c r="F9062">
        <f>F9061+1</f>
        <v/>
      </c>
      <c r="G9062" s="92">
        <f>EXP($C$12+$C$8*_xlfn.NORM.S.INV(RAND()))</f>
        <v/>
      </c>
    </row>
    <row r="9063">
      <c r="F9063">
        <f>F9062+1</f>
        <v/>
      </c>
      <c r="G9063" s="92">
        <f>EXP($C$12+$C$8*_xlfn.NORM.S.INV(RAND()))</f>
        <v/>
      </c>
    </row>
    <row r="9064">
      <c r="F9064">
        <f>F9063+1</f>
        <v/>
      </c>
      <c r="G9064" s="92">
        <f>EXP($C$12+$C$8*_xlfn.NORM.S.INV(RAND()))</f>
        <v/>
      </c>
    </row>
    <row r="9065">
      <c r="F9065">
        <f>F9064+1</f>
        <v/>
      </c>
      <c r="G9065" s="92">
        <f>EXP($C$12+$C$8*_xlfn.NORM.S.INV(RAND()))</f>
        <v/>
      </c>
    </row>
    <row r="9066">
      <c r="F9066">
        <f>F9065+1</f>
        <v/>
      </c>
      <c r="G9066" s="92">
        <f>EXP($C$12+$C$8*_xlfn.NORM.S.INV(RAND()))</f>
        <v/>
      </c>
    </row>
    <row r="9067">
      <c r="F9067">
        <f>F9066+1</f>
        <v/>
      </c>
      <c r="G9067" s="92">
        <f>EXP($C$12+$C$8*_xlfn.NORM.S.INV(RAND()))</f>
        <v/>
      </c>
    </row>
    <row r="9068">
      <c r="F9068">
        <f>F9067+1</f>
        <v/>
      </c>
      <c r="G9068" s="92">
        <f>EXP($C$12+$C$8*_xlfn.NORM.S.INV(RAND()))</f>
        <v/>
      </c>
    </row>
    <row r="9069">
      <c r="F9069">
        <f>F9068+1</f>
        <v/>
      </c>
      <c r="G9069" s="92">
        <f>EXP($C$12+$C$8*_xlfn.NORM.S.INV(RAND()))</f>
        <v/>
      </c>
    </row>
    <row r="9070">
      <c r="F9070">
        <f>F9069+1</f>
        <v/>
      </c>
      <c r="G9070" s="92">
        <f>EXP($C$12+$C$8*_xlfn.NORM.S.INV(RAND()))</f>
        <v/>
      </c>
    </row>
    <row r="9071">
      <c r="F9071">
        <f>F9070+1</f>
        <v/>
      </c>
      <c r="G9071" s="92">
        <f>EXP($C$12+$C$8*_xlfn.NORM.S.INV(RAND()))</f>
        <v/>
      </c>
    </row>
    <row r="9072">
      <c r="F9072">
        <f>F9071+1</f>
        <v/>
      </c>
      <c r="G9072" s="92">
        <f>EXP($C$12+$C$8*_xlfn.NORM.S.INV(RAND()))</f>
        <v/>
      </c>
    </row>
    <row r="9073">
      <c r="F9073">
        <f>F9072+1</f>
        <v/>
      </c>
      <c r="G9073" s="92">
        <f>EXP($C$12+$C$8*_xlfn.NORM.S.INV(RAND()))</f>
        <v/>
      </c>
    </row>
    <row r="9074">
      <c r="F9074">
        <f>F9073+1</f>
        <v/>
      </c>
      <c r="G9074" s="92">
        <f>EXP($C$12+$C$8*_xlfn.NORM.S.INV(RAND()))</f>
        <v/>
      </c>
    </row>
    <row r="9075">
      <c r="F9075">
        <f>F9074+1</f>
        <v/>
      </c>
      <c r="G9075" s="92">
        <f>EXP($C$12+$C$8*_xlfn.NORM.S.INV(RAND()))</f>
        <v/>
      </c>
    </row>
    <row r="9076">
      <c r="F9076">
        <f>F9075+1</f>
        <v/>
      </c>
      <c r="G9076" s="92">
        <f>EXP($C$12+$C$8*_xlfn.NORM.S.INV(RAND()))</f>
        <v/>
      </c>
    </row>
    <row r="9077">
      <c r="F9077">
        <f>F9076+1</f>
        <v/>
      </c>
      <c r="G9077" s="92">
        <f>EXP($C$12+$C$8*_xlfn.NORM.S.INV(RAND()))</f>
        <v/>
      </c>
    </row>
    <row r="9078">
      <c r="F9078">
        <f>F9077+1</f>
        <v/>
      </c>
      <c r="G9078" s="92">
        <f>EXP($C$12+$C$8*_xlfn.NORM.S.INV(RAND()))</f>
        <v/>
      </c>
    </row>
    <row r="9079">
      <c r="F9079">
        <f>F9078+1</f>
        <v/>
      </c>
      <c r="G9079" s="92">
        <f>EXP($C$12+$C$8*_xlfn.NORM.S.INV(RAND()))</f>
        <v/>
      </c>
    </row>
    <row r="9080">
      <c r="F9080">
        <f>F9079+1</f>
        <v/>
      </c>
      <c r="G9080" s="92">
        <f>EXP($C$12+$C$8*_xlfn.NORM.S.INV(RAND()))</f>
        <v/>
      </c>
    </row>
    <row r="9081">
      <c r="F9081">
        <f>F9080+1</f>
        <v/>
      </c>
      <c r="G9081" s="92">
        <f>EXP($C$12+$C$8*_xlfn.NORM.S.INV(RAND()))</f>
        <v/>
      </c>
    </row>
    <row r="9082">
      <c r="F9082">
        <f>F9081+1</f>
        <v/>
      </c>
      <c r="G9082" s="92">
        <f>EXP($C$12+$C$8*_xlfn.NORM.S.INV(RAND()))</f>
        <v/>
      </c>
    </row>
    <row r="9083">
      <c r="F9083">
        <f>F9082+1</f>
        <v/>
      </c>
      <c r="G9083" s="92">
        <f>EXP($C$12+$C$8*_xlfn.NORM.S.INV(RAND()))</f>
        <v/>
      </c>
    </row>
    <row r="9084">
      <c r="F9084">
        <f>F9083+1</f>
        <v/>
      </c>
      <c r="G9084" s="92">
        <f>EXP($C$12+$C$8*_xlfn.NORM.S.INV(RAND()))</f>
        <v/>
      </c>
    </row>
    <row r="9085">
      <c r="F9085">
        <f>F9084+1</f>
        <v/>
      </c>
      <c r="G9085" s="92">
        <f>EXP($C$12+$C$8*_xlfn.NORM.S.INV(RAND()))</f>
        <v/>
      </c>
    </row>
    <row r="9086">
      <c r="F9086">
        <f>F9085+1</f>
        <v/>
      </c>
      <c r="G9086" s="92">
        <f>EXP($C$12+$C$8*_xlfn.NORM.S.INV(RAND()))</f>
        <v/>
      </c>
    </row>
    <row r="9087">
      <c r="F9087">
        <f>F9086+1</f>
        <v/>
      </c>
      <c r="G9087" s="92">
        <f>EXP($C$12+$C$8*_xlfn.NORM.S.INV(RAND()))</f>
        <v/>
      </c>
    </row>
    <row r="9088">
      <c r="F9088">
        <f>F9087+1</f>
        <v/>
      </c>
      <c r="G9088" s="92">
        <f>EXP($C$12+$C$8*_xlfn.NORM.S.INV(RAND()))</f>
        <v/>
      </c>
    </row>
    <row r="9089">
      <c r="F9089">
        <f>F9088+1</f>
        <v/>
      </c>
      <c r="G9089" s="92">
        <f>EXP($C$12+$C$8*_xlfn.NORM.S.INV(RAND()))</f>
        <v/>
      </c>
    </row>
    <row r="9090">
      <c r="F9090">
        <f>F9089+1</f>
        <v/>
      </c>
      <c r="G9090" s="92">
        <f>EXP($C$12+$C$8*_xlfn.NORM.S.INV(RAND()))</f>
        <v/>
      </c>
    </row>
    <row r="9091">
      <c r="F9091">
        <f>F9090+1</f>
        <v/>
      </c>
      <c r="G9091" s="92">
        <f>EXP($C$12+$C$8*_xlfn.NORM.S.INV(RAND()))</f>
        <v/>
      </c>
    </row>
    <row r="9092">
      <c r="F9092">
        <f>F9091+1</f>
        <v/>
      </c>
      <c r="G9092" s="92">
        <f>EXP($C$12+$C$8*_xlfn.NORM.S.INV(RAND()))</f>
        <v/>
      </c>
    </row>
    <row r="9093">
      <c r="F9093">
        <f>F9092+1</f>
        <v/>
      </c>
      <c r="G9093" s="92">
        <f>EXP($C$12+$C$8*_xlfn.NORM.S.INV(RAND()))</f>
        <v/>
      </c>
    </row>
    <row r="9094">
      <c r="F9094">
        <f>F9093+1</f>
        <v/>
      </c>
      <c r="G9094" s="92">
        <f>EXP($C$12+$C$8*_xlfn.NORM.S.INV(RAND()))</f>
        <v/>
      </c>
    </row>
    <row r="9095">
      <c r="F9095">
        <f>F9094+1</f>
        <v/>
      </c>
      <c r="G9095" s="92">
        <f>EXP($C$12+$C$8*_xlfn.NORM.S.INV(RAND()))</f>
        <v/>
      </c>
    </row>
    <row r="9096">
      <c r="F9096">
        <f>F9095+1</f>
        <v/>
      </c>
      <c r="G9096" s="92">
        <f>EXP($C$12+$C$8*_xlfn.NORM.S.INV(RAND()))</f>
        <v/>
      </c>
    </row>
    <row r="9097">
      <c r="F9097">
        <f>F9096+1</f>
        <v/>
      </c>
      <c r="G9097" s="92">
        <f>EXP($C$12+$C$8*_xlfn.NORM.S.INV(RAND()))</f>
        <v/>
      </c>
    </row>
    <row r="9098">
      <c r="F9098">
        <f>F9097+1</f>
        <v/>
      </c>
      <c r="G9098" s="92">
        <f>EXP($C$12+$C$8*_xlfn.NORM.S.INV(RAND()))</f>
        <v/>
      </c>
    </row>
    <row r="9099">
      <c r="F9099">
        <f>F9098+1</f>
        <v/>
      </c>
      <c r="G9099" s="92">
        <f>EXP($C$12+$C$8*_xlfn.NORM.S.INV(RAND()))</f>
        <v/>
      </c>
    </row>
    <row r="9100">
      <c r="F9100">
        <f>F9099+1</f>
        <v/>
      </c>
      <c r="G9100" s="92">
        <f>EXP($C$12+$C$8*_xlfn.NORM.S.INV(RAND()))</f>
        <v/>
      </c>
    </row>
    <row r="9101">
      <c r="F9101">
        <f>F9100+1</f>
        <v/>
      </c>
      <c r="G9101" s="92">
        <f>EXP($C$12+$C$8*_xlfn.NORM.S.INV(RAND()))</f>
        <v/>
      </c>
    </row>
    <row r="9102">
      <c r="F9102">
        <f>F9101+1</f>
        <v/>
      </c>
      <c r="G9102" s="92">
        <f>EXP($C$12+$C$8*_xlfn.NORM.S.INV(RAND()))</f>
        <v/>
      </c>
    </row>
    <row r="9103">
      <c r="F9103">
        <f>F9102+1</f>
        <v/>
      </c>
      <c r="G9103" s="92">
        <f>EXP($C$12+$C$8*_xlfn.NORM.S.INV(RAND()))</f>
        <v/>
      </c>
    </row>
    <row r="9104">
      <c r="F9104">
        <f>F9103+1</f>
        <v/>
      </c>
      <c r="G9104" s="92">
        <f>EXP($C$12+$C$8*_xlfn.NORM.S.INV(RAND()))</f>
        <v/>
      </c>
    </row>
    <row r="9105">
      <c r="F9105">
        <f>F9104+1</f>
        <v/>
      </c>
      <c r="G9105" s="92">
        <f>EXP($C$12+$C$8*_xlfn.NORM.S.INV(RAND()))</f>
        <v/>
      </c>
    </row>
    <row r="9106">
      <c r="F9106">
        <f>F9105+1</f>
        <v/>
      </c>
      <c r="G9106" s="92">
        <f>EXP($C$12+$C$8*_xlfn.NORM.S.INV(RAND()))</f>
        <v/>
      </c>
    </row>
    <row r="9107">
      <c r="F9107">
        <f>F9106+1</f>
        <v/>
      </c>
      <c r="G9107" s="92">
        <f>EXP($C$12+$C$8*_xlfn.NORM.S.INV(RAND()))</f>
        <v/>
      </c>
    </row>
    <row r="9108">
      <c r="F9108">
        <f>F9107+1</f>
        <v/>
      </c>
      <c r="G9108" s="92">
        <f>EXP($C$12+$C$8*_xlfn.NORM.S.INV(RAND()))</f>
        <v/>
      </c>
    </row>
    <row r="9109">
      <c r="F9109">
        <f>F9108+1</f>
        <v/>
      </c>
      <c r="G9109" s="92">
        <f>EXP($C$12+$C$8*_xlfn.NORM.S.INV(RAND()))</f>
        <v/>
      </c>
    </row>
    <row r="9110">
      <c r="F9110">
        <f>F9109+1</f>
        <v/>
      </c>
      <c r="G9110" s="92">
        <f>EXP($C$12+$C$8*_xlfn.NORM.S.INV(RAND()))</f>
        <v/>
      </c>
    </row>
    <row r="9111">
      <c r="F9111">
        <f>F9110+1</f>
        <v/>
      </c>
      <c r="G9111" s="92">
        <f>EXP($C$12+$C$8*_xlfn.NORM.S.INV(RAND()))</f>
        <v/>
      </c>
    </row>
    <row r="9112">
      <c r="F9112">
        <f>F9111+1</f>
        <v/>
      </c>
      <c r="G9112" s="92">
        <f>EXP($C$12+$C$8*_xlfn.NORM.S.INV(RAND()))</f>
        <v/>
      </c>
    </row>
    <row r="9113">
      <c r="F9113">
        <f>F9112+1</f>
        <v/>
      </c>
      <c r="G9113" s="92">
        <f>EXP($C$12+$C$8*_xlfn.NORM.S.INV(RAND()))</f>
        <v/>
      </c>
    </row>
    <row r="9114">
      <c r="F9114">
        <f>F9113+1</f>
        <v/>
      </c>
      <c r="G9114" s="92">
        <f>EXP($C$12+$C$8*_xlfn.NORM.S.INV(RAND()))</f>
        <v/>
      </c>
    </row>
    <row r="9115">
      <c r="F9115">
        <f>F9114+1</f>
        <v/>
      </c>
      <c r="G9115" s="92">
        <f>EXP($C$12+$C$8*_xlfn.NORM.S.INV(RAND()))</f>
        <v/>
      </c>
    </row>
    <row r="9116">
      <c r="F9116">
        <f>F9115+1</f>
        <v/>
      </c>
      <c r="G9116" s="92">
        <f>EXP($C$12+$C$8*_xlfn.NORM.S.INV(RAND()))</f>
        <v/>
      </c>
    </row>
    <row r="9117">
      <c r="F9117">
        <f>F9116+1</f>
        <v/>
      </c>
      <c r="G9117" s="92">
        <f>EXP($C$12+$C$8*_xlfn.NORM.S.INV(RAND()))</f>
        <v/>
      </c>
    </row>
    <row r="9118">
      <c r="F9118">
        <f>F9117+1</f>
        <v/>
      </c>
      <c r="G9118" s="92">
        <f>EXP($C$12+$C$8*_xlfn.NORM.S.INV(RAND()))</f>
        <v/>
      </c>
    </row>
    <row r="9119">
      <c r="F9119">
        <f>F9118+1</f>
        <v/>
      </c>
      <c r="G9119" s="92">
        <f>EXP($C$12+$C$8*_xlfn.NORM.S.INV(RAND()))</f>
        <v/>
      </c>
    </row>
    <row r="9120">
      <c r="F9120">
        <f>F9119+1</f>
        <v/>
      </c>
      <c r="G9120" s="92">
        <f>EXP($C$12+$C$8*_xlfn.NORM.S.INV(RAND()))</f>
        <v/>
      </c>
    </row>
    <row r="9121">
      <c r="F9121">
        <f>F9120+1</f>
        <v/>
      </c>
      <c r="G9121" s="92">
        <f>EXP($C$12+$C$8*_xlfn.NORM.S.INV(RAND()))</f>
        <v/>
      </c>
    </row>
    <row r="9122">
      <c r="F9122">
        <f>F9121+1</f>
        <v/>
      </c>
      <c r="G9122" s="92">
        <f>EXP($C$12+$C$8*_xlfn.NORM.S.INV(RAND()))</f>
        <v/>
      </c>
    </row>
    <row r="9123">
      <c r="F9123">
        <f>F9122+1</f>
        <v/>
      </c>
      <c r="G9123" s="92">
        <f>EXP($C$12+$C$8*_xlfn.NORM.S.INV(RAND()))</f>
        <v/>
      </c>
    </row>
    <row r="9124">
      <c r="F9124">
        <f>F9123+1</f>
        <v/>
      </c>
      <c r="G9124" s="92">
        <f>EXP($C$12+$C$8*_xlfn.NORM.S.INV(RAND()))</f>
        <v/>
      </c>
    </row>
    <row r="9125">
      <c r="F9125">
        <f>F9124+1</f>
        <v/>
      </c>
      <c r="G9125" s="92">
        <f>EXP($C$12+$C$8*_xlfn.NORM.S.INV(RAND()))</f>
        <v/>
      </c>
    </row>
    <row r="9126">
      <c r="F9126">
        <f>F9125+1</f>
        <v/>
      </c>
      <c r="G9126" s="92">
        <f>EXP($C$12+$C$8*_xlfn.NORM.S.INV(RAND()))</f>
        <v/>
      </c>
    </row>
    <row r="9127">
      <c r="F9127">
        <f>F9126+1</f>
        <v/>
      </c>
      <c r="G9127" s="92">
        <f>EXP($C$12+$C$8*_xlfn.NORM.S.INV(RAND()))</f>
        <v/>
      </c>
    </row>
    <row r="9128">
      <c r="F9128">
        <f>F9127+1</f>
        <v/>
      </c>
      <c r="G9128" s="92">
        <f>EXP($C$12+$C$8*_xlfn.NORM.S.INV(RAND()))</f>
        <v/>
      </c>
    </row>
    <row r="9129">
      <c r="F9129">
        <f>F9128+1</f>
        <v/>
      </c>
      <c r="G9129" s="92">
        <f>EXP($C$12+$C$8*_xlfn.NORM.S.INV(RAND()))</f>
        <v/>
      </c>
    </row>
    <row r="9130">
      <c r="F9130">
        <f>F9129+1</f>
        <v/>
      </c>
      <c r="G9130" s="92">
        <f>EXP($C$12+$C$8*_xlfn.NORM.S.INV(RAND()))</f>
        <v/>
      </c>
    </row>
    <row r="9131">
      <c r="F9131">
        <f>F9130+1</f>
        <v/>
      </c>
      <c r="G9131" s="92">
        <f>EXP($C$12+$C$8*_xlfn.NORM.S.INV(RAND()))</f>
        <v/>
      </c>
    </row>
    <row r="9132">
      <c r="F9132">
        <f>F9131+1</f>
        <v/>
      </c>
      <c r="G9132" s="92">
        <f>EXP($C$12+$C$8*_xlfn.NORM.S.INV(RAND()))</f>
        <v/>
      </c>
    </row>
    <row r="9133">
      <c r="F9133">
        <f>F9132+1</f>
        <v/>
      </c>
      <c r="G9133" s="92">
        <f>EXP($C$12+$C$8*_xlfn.NORM.S.INV(RAND()))</f>
        <v/>
      </c>
    </row>
    <row r="9134">
      <c r="F9134">
        <f>F9133+1</f>
        <v/>
      </c>
      <c r="G9134" s="92">
        <f>EXP($C$12+$C$8*_xlfn.NORM.S.INV(RAND()))</f>
        <v/>
      </c>
    </row>
    <row r="9135">
      <c r="F9135">
        <f>F9134+1</f>
        <v/>
      </c>
      <c r="G9135" s="92">
        <f>EXP($C$12+$C$8*_xlfn.NORM.S.INV(RAND()))</f>
        <v/>
      </c>
    </row>
    <row r="9136">
      <c r="F9136">
        <f>F9135+1</f>
        <v/>
      </c>
      <c r="G9136" s="92">
        <f>EXP($C$12+$C$8*_xlfn.NORM.S.INV(RAND()))</f>
        <v/>
      </c>
    </row>
    <row r="9137">
      <c r="F9137">
        <f>F9136+1</f>
        <v/>
      </c>
      <c r="G9137" s="92">
        <f>EXP($C$12+$C$8*_xlfn.NORM.S.INV(RAND()))</f>
        <v/>
      </c>
    </row>
    <row r="9138">
      <c r="F9138">
        <f>F9137+1</f>
        <v/>
      </c>
      <c r="G9138" s="92">
        <f>EXP($C$12+$C$8*_xlfn.NORM.S.INV(RAND()))</f>
        <v/>
      </c>
    </row>
    <row r="9139">
      <c r="F9139">
        <f>F9138+1</f>
        <v/>
      </c>
      <c r="G9139" s="92">
        <f>EXP($C$12+$C$8*_xlfn.NORM.S.INV(RAND()))</f>
        <v/>
      </c>
    </row>
    <row r="9140">
      <c r="F9140">
        <f>F9139+1</f>
        <v/>
      </c>
      <c r="G9140" s="92">
        <f>EXP($C$12+$C$8*_xlfn.NORM.S.INV(RAND()))</f>
        <v/>
      </c>
    </row>
    <row r="9141">
      <c r="F9141">
        <f>F9140+1</f>
        <v/>
      </c>
      <c r="G9141" s="92">
        <f>EXP($C$12+$C$8*_xlfn.NORM.S.INV(RAND()))</f>
        <v/>
      </c>
    </row>
    <row r="9142">
      <c r="F9142">
        <f>F9141+1</f>
        <v/>
      </c>
      <c r="G9142" s="92">
        <f>EXP($C$12+$C$8*_xlfn.NORM.S.INV(RAND()))</f>
        <v/>
      </c>
    </row>
    <row r="9143">
      <c r="F9143">
        <f>F9142+1</f>
        <v/>
      </c>
      <c r="G9143" s="92">
        <f>EXP($C$12+$C$8*_xlfn.NORM.S.INV(RAND()))</f>
        <v/>
      </c>
    </row>
    <row r="9144">
      <c r="F9144">
        <f>F9143+1</f>
        <v/>
      </c>
      <c r="G9144" s="92">
        <f>EXP($C$12+$C$8*_xlfn.NORM.S.INV(RAND()))</f>
        <v/>
      </c>
    </row>
    <row r="9145">
      <c r="F9145">
        <f>F9144+1</f>
        <v/>
      </c>
      <c r="G9145" s="92">
        <f>EXP($C$12+$C$8*_xlfn.NORM.S.INV(RAND()))</f>
        <v/>
      </c>
    </row>
    <row r="9146">
      <c r="F9146">
        <f>F9145+1</f>
        <v/>
      </c>
      <c r="G9146" s="92">
        <f>EXP($C$12+$C$8*_xlfn.NORM.S.INV(RAND()))</f>
        <v/>
      </c>
    </row>
    <row r="9147">
      <c r="F9147">
        <f>F9146+1</f>
        <v/>
      </c>
      <c r="G9147" s="92">
        <f>EXP($C$12+$C$8*_xlfn.NORM.S.INV(RAND()))</f>
        <v/>
      </c>
    </row>
    <row r="9148">
      <c r="F9148">
        <f>F9147+1</f>
        <v/>
      </c>
      <c r="G9148" s="92">
        <f>EXP($C$12+$C$8*_xlfn.NORM.S.INV(RAND()))</f>
        <v/>
      </c>
    </row>
    <row r="9149">
      <c r="F9149">
        <f>F9148+1</f>
        <v/>
      </c>
      <c r="G9149" s="92">
        <f>EXP($C$12+$C$8*_xlfn.NORM.S.INV(RAND()))</f>
        <v/>
      </c>
    </row>
    <row r="9150">
      <c r="F9150">
        <f>F9149+1</f>
        <v/>
      </c>
      <c r="G9150" s="92">
        <f>EXP($C$12+$C$8*_xlfn.NORM.S.INV(RAND()))</f>
        <v/>
      </c>
    </row>
    <row r="9151">
      <c r="F9151">
        <f>F9150+1</f>
        <v/>
      </c>
      <c r="G9151" s="92">
        <f>EXP($C$12+$C$8*_xlfn.NORM.S.INV(RAND()))</f>
        <v/>
      </c>
    </row>
    <row r="9152">
      <c r="F9152">
        <f>F9151+1</f>
        <v/>
      </c>
      <c r="G9152" s="92">
        <f>EXP($C$12+$C$8*_xlfn.NORM.S.INV(RAND()))</f>
        <v/>
      </c>
    </row>
    <row r="9153">
      <c r="F9153">
        <f>F9152+1</f>
        <v/>
      </c>
      <c r="G9153" s="92">
        <f>EXP($C$12+$C$8*_xlfn.NORM.S.INV(RAND()))</f>
        <v/>
      </c>
    </row>
    <row r="9154">
      <c r="F9154">
        <f>F9153+1</f>
        <v/>
      </c>
      <c r="G9154" s="92">
        <f>EXP($C$12+$C$8*_xlfn.NORM.S.INV(RAND()))</f>
        <v/>
      </c>
    </row>
    <row r="9155">
      <c r="F9155">
        <f>F9154+1</f>
        <v/>
      </c>
      <c r="G9155" s="92">
        <f>EXP($C$12+$C$8*_xlfn.NORM.S.INV(RAND()))</f>
        <v/>
      </c>
    </row>
    <row r="9156">
      <c r="F9156">
        <f>F9155+1</f>
        <v/>
      </c>
      <c r="G9156" s="92">
        <f>EXP($C$12+$C$8*_xlfn.NORM.S.INV(RAND()))</f>
        <v/>
      </c>
    </row>
    <row r="9157">
      <c r="F9157">
        <f>F9156+1</f>
        <v/>
      </c>
      <c r="G9157" s="92">
        <f>EXP($C$12+$C$8*_xlfn.NORM.S.INV(RAND()))</f>
        <v/>
      </c>
    </row>
    <row r="9158">
      <c r="F9158">
        <f>F9157+1</f>
        <v/>
      </c>
      <c r="G9158" s="92">
        <f>EXP($C$12+$C$8*_xlfn.NORM.S.INV(RAND()))</f>
        <v/>
      </c>
    </row>
    <row r="9159">
      <c r="F9159">
        <f>F9158+1</f>
        <v/>
      </c>
      <c r="G9159" s="92">
        <f>EXP($C$12+$C$8*_xlfn.NORM.S.INV(RAND()))</f>
        <v/>
      </c>
    </row>
    <row r="9160">
      <c r="F9160">
        <f>F9159+1</f>
        <v/>
      </c>
      <c r="G9160" s="92">
        <f>EXP($C$12+$C$8*_xlfn.NORM.S.INV(RAND()))</f>
        <v/>
      </c>
    </row>
    <row r="9161">
      <c r="F9161">
        <f>F9160+1</f>
        <v/>
      </c>
      <c r="G9161" s="92">
        <f>EXP($C$12+$C$8*_xlfn.NORM.S.INV(RAND()))</f>
        <v/>
      </c>
    </row>
    <row r="9162">
      <c r="F9162">
        <f>F9161+1</f>
        <v/>
      </c>
      <c r="G9162" s="92">
        <f>EXP($C$12+$C$8*_xlfn.NORM.S.INV(RAND()))</f>
        <v/>
      </c>
    </row>
    <row r="9163">
      <c r="F9163">
        <f>F9162+1</f>
        <v/>
      </c>
      <c r="G9163" s="92">
        <f>EXP($C$12+$C$8*_xlfn.NORM.S.INV(RAND()))</f>
        <v/>
      </c>
    </row>
    <row r="9164">
      <c r="F9164">
        <f>F9163+1</f>
        <v/>
      </c>
      <c r="G9164" s="92">
        <f>EXP($C$12+$C$8*_xlfn.NORM.S.INV(RAND()))</f>
        <v/>
      </c>
    </row>
    <row r="9165">
      <c r="F9165">
        <f>F9164+1</f>
        <v/>
      </c>
      <c r="G9165" s="92">
        <f>EXP($C$12+$C$8*_xlfn.NORM.S.INV(RAND()))</f>
        <v/>
      </c>
    </row>
    <row r="9166">
      <c r="F9166">
        <f>F9165+1</f>
        <v/>
      </c>
      <c r="G9166" s="92">
        <f>EXP($C$12+$C$8*_xlfn.NORM.S.INV(RAND()))</f>
        <v/>
      </c>
    </row>
    <row r="9167">
      <c r="F9167">
        <f>F9166+1</f>
        <v/>
      </c>
      <c r="G9167" s="92">
        <f>EXP($C$12+$C$8*_xlfn.NORM.S.INV(RAND()))</f>
        <v/>
      </c>
    </row>
    <row r="9168">
      <c r="F9168">
        <f>F9167+1</f>
        <v/>
      </c>
      <c r="G9168" s="92">
        <f>EXP($C$12+$C$8*_xlfn.NORM.S.INV(RAND()))</f>
        <v/>
      </c>
    </row>
    <row r="9169">
      <c r="F9169">
        <f>F9168+1</f>
        <v/>
      </c>
      <c r="G9169" s="92">
        <f>EXP($C$12+$C$8*_xlfn.NORM.S.INV(RAND()))</f>
        <v/>
      </c>
    </row>
    <row r="9170">
      <c r="F9170">
        <f>F9169+1</f>
        <v/>
      </c>
      <c r="G9170" s="92">
        <f>EXP($C$12+$C$8*_xlfn.NORM.S.INV(RAND()))</f>
        <v/>
      </c>
    </row>
    <row r="9171">
      <c r="F9171">
        <f>F9170+1</f>
        <v/>
      </c>
      <c r="G9171" s="92">
        <f>EXP($C$12+$C$8*_xlfn.NORM.S.INV(RAND()))</f>
        <v/>
      </c>
    </row>
    <row r="9172">
      <c r="F9172">
        <f>F9171+1</f>
        <v/>
      </c>
      <c r="G9172" s="92">
        <f>EXP($C$12+$C$8*_xlfn.NORM.S.INV(RAND()))</f>
        <v/>
      </c>
    </row>
    <row r="9173">
      <c r="F9173">
        <f>F9172+1</f>
        <v/>
      </c>
      <c r="G9173" s="92">
        <f>EXP($C$12+$C$8*_xlfn.NORM.S.INV(RAND()))</f>
        <v/>
      </c>
    </row>
    <row r="9174">
      <c r="F9174">
        <f>F9173+1</f>
        <v/>
      </c>
      <c r="G9174" s="92">
        <f>EXP($C$12+$C$8*_xlfn.NORM.S.INV(RAND()))</f>
        <v/>
      </c>
    </row>
    <row r="9175">
      <c r="F9175">
        <f>F9174+1</f>
        <v/>
      </c>
      <c r="G9175" s="92">
        <f>EXP($C$12+$C$8*_xlfn.NORM.S.INV(RAND()))</f>
        <v/>
      </c>
    </row>
    <row r="9176">
      <c r="F9176">
        <f>F9175+1</f>
        <v/>
      </c>
      <c r="G9176" s="92">
        <f>EXP($C$12+$C$8*_xlfn.NORM.S.INV(RAND()))</f>
        <v/>
      </c>
    </row>
    <row r="9177">
      <c r="F9177">
        <f>F9176+1</f>
        <v/>
      </c>
      <c r="G9177" s="92">
        <f>EXP($C$12+$C$8*_xlfn.NORM.S.INV(RAND()))</f>
        <v/>
      </c>
    </row>
    <row r="9178">
      <c r="F9178">
        <f>F9177+1</f>
        <v/>
      </c>
      <c r="G9178" s="92">
        <f>EXP($C$12+$C$8*_xlfn.NORM.S.INV(RAND()))</f>
        <v/>
      </c>
    </row>
    <row r="9179">
      <c r="F9179">
        <f>F9178+1</f>
        <v/>
      </c>
      <c r="G9179" s="92">
        <f>EXP($C$12+$C$8*_xlfn.NORM.S.INV(RAND()))</f>
        <v/>
      </c>
    </row>
    <row r="9180">
      <c r="F9180">
        <f>F9179+1</f>
        <v/>
      </c>
      <c r="G9180" s="92">
        <f>EXP($C$12+$C$8*_xlfn.NORM.S.INV(RAND()))</f>
        <v/>
      </c>
    </row>
    <row r="9181">
      <c r="F9181">
        <f>F9180+1</f>
        <v/>
      </c>
      <c r="G9181" s="92">
        <f>EXP($C$12+$C$8*_xlfn.NORM.S.INV(RAND()))</f>
        <v/>
      </c>
    </row>
    <row r="9182">
      <c r="F9182">
        <f>F9181+1</f>
        <v/>
      </c>
      <c r="G9182" s="92">
        <f>EXP($C$12+$C$8*_xlfn.NORM.S.INV(RAND()))</f>
        <v/>
      </c>
    </row>
    <row r="9183">
      <c r="F9183">
        <f>F9182+1</f>
        <v/>
      </c>
      <c r="G9183" s="92">
        <f>EXP($C$12+$C$8*_xlfn.NORM.S.INV(RAND()))</f>
        <v/>
      </c>
    </row>
    <row r="9184">
      <c r="F9184">
        <f>F9183+1</f>
        <v/>
      </c>
      <c r="G9184" s="92">
        <f>EXP($C$12+$C$8*_xlfn.NORM.S.INV(RAND()))</f>
        <v/>
      </c>
    </row>
    <row r="9185">
      <c r="F9185">
        <f>F9184+1</f>
        <v/>
      </c>
      <c r="G9185" s="92">
        <f>EXP($C$12+$C$8*_xlfn.NORM.S.INV(RAND()))</f>
        <v/>
      </c>
    </row>
    <row r="9186">
      <c r="F9186">
        <f>F9185+1</f>
        <v/>
      </c>
      <c r="G9186" s="92">
        <f>EXP($C$12+$C$8*_xlfn.NORM.S.INV(RAND()))</f>
        <v/>
      </c>
    </row>
    <row r="9187">
      <c r="F9187">
        <f>F9186+1</f>
        <v/>
      </c>
      <c r="G9187" s="92">
        <f>EXP($C$12+$C$8*_xlfn.NORM.S.INV(RAND()))</f>
        <v/>
      </c>
    </row>
    <row r="9188">
      <c r="F9188">
        <f>F9187+1</f>
        <v/>
      </c>
      <c r="G9188" s="92">
        <f>EXP($C$12+$C$8*_xlfn.NORM.S.INV(RAND()))</f>
        <v/>
      </c>
    </row>
    <row r="9189">
      <c r="F9189">
        <f>F9188+1</f>
        <v/>
      </c>
      <c r="G9189" s="92">
        <f>EXP($C$12+$C$8*_xlfn.NORM.S.INV(RAND()))</f>
        <v/>
      </c>
    </row>
    <row r="9190">
      <c r="F9190">
        <f>F9189+1</f>
        <v/>
      </c>
      <c r="G9190" s="92">
        <f>EXP($C$12+$C$8*_xlfn.NORM.S.INV(RAND()))</f>
        <v/>
      </c>
    </row>
    <row r="9191">
      <c r="F9191">
        <f>F9190+1</f>
        <v/>
      </c>
      <c r="G9191" s="92">
        <f>EXP($C$12+$C$8*_xlfn.NORM.S.INV(RAND()))</f>
        <v/>
      </c>
    </row>
    <row r="9192">
      <c r="F9192">
        <f>F9191+1</f>
        <v/>
      </c>
      <c r="G9192" s="92">
        <f>EXP($C$12+$C$8*_xlfn.NORM.S.INV(RAND()))</f>
        <v/>
      </c>
    </row>
    <row r="9193">
      <c r="F9193">
        <f>F9192+1</f>
        <v/>
      </c>
      <c r="G9193" s="92">
        <f>EXP($C$12+$C$8*_xlfn.NORM.S.INV(RAND()))</f>
        <v/>
      </c>
    </row>
    <row r="9194">
      <c r="F9194">
        <f>F9193+1</f>
        <v/>
      </c>
      <c r="G9194" s="92">
        <f>EXP($C$12+$C$8*_xlfn.NORM.S.INV(RAND()))</f>
        <v/>
      </c>
    </row>
    <row r="9195">
      <c r="F9195">
        <f>F9194+1</f>
        <v/>
      </c>
      <c r="G9195" s="92">
        <f>EXP($C$12+$C$8*_xlfn.NORM.S.INV(RAND()))</f>
        <v/>
      </c>
    </row>
    <row r="9196">
      <c r="F9196">
        <f>F9195+1</f>
        <v/>
      </c>
      <c r="G9196" s="92">
        <f>EXP($C$12+$C$8*_xlfn.NORM.S.INV(RAND()))</f>
        <v/>
      </c>
    </row>
    <row r="9197">
      <c r="F9197">
        <f>F9196+1</f>
        <v/>
      </c>
      <c r="G9197" s="92">
        <f>EXP($C$12+$C$8*_xlfn.NORM.S.INV(RAND()))</f>
        <v/>
      </c>
    </row>
    <row r="9198">
      <c r="F9198">
        <f>F9197+1</f>
        <v/>
      </c>
      <c r="G9198" s="92">
        <f>EXP($C$12+$C$8*_xlfn.NORM.S.INV(RAND()))</f>
        <v/>
      </c>
    </row>
    <row r="9199">
      <c r="F9199">
        <f>F9198+1</f>
        <v/>
      </c>
      <c r="G9199" s="92">
        <f>EXP($C$12+$C$8*_xlfn.NORM.S.INV(RAND()))</f>
        <v/>
      </c>
    </row>
    <row r="9200">
      <c r="F9200">
        <f>F9199+1</f>
        <v/>
      </c>
      <c r="G9200" s="92">
        <f>EXP($C$12+$C$8*_xlfn.NORM.S.INV(RAND()))</f>
        <v/>
      </c>
    </row>
    <row r="9201">
      <c r="F9201">
        <f>F9200+1</f>
        <v/>
      </c>
      <c r="G9201" s="92">
        <f>EXP($C$12+$C$8*_xlfn.NORM.S.INV(RAND()))</f>
        <v/>
      </c>
    </row>
    <row r="9202">
      <c r="F9202">
        <f>F9201+1</f>
        <v/>
      </c>
      <c r="G9202" s="92">
        <f>EXP($C$12+$C$8*_xlfn.NORM.S.INV(RAND()))</f>
        <v/>
      </c>
    </row>
    <row r="9203">
      <c r="F9203">
        <f>F9202+1</f>
        <v/>
      </c>
      <c r="G9203" s="92">
        <f>EXP($C$12+$C$8*_xlfn.NORM.S.INV(RAND()))</f>
        <v/>
      </c>
    </row>
    <row r="9204">
      <c r="F9204">
        <f>F9203+1</f>
        <v/>
      </c>
      <c r="G9204" s="92">
        <f>EXP($C$12+$C$8*_xlfn.NORM.S.INV(RAND()))</f>
        <v/>
      </c>
    </row>
    <row r="9205">
      <c r="F9205">
        <f>F9204+1</f>
        <v/>
      </c>
      <c r="G9205" s="92">
        <f>EXP($C$12+$C$8*_xlfn.NORM.S.INV(RAND()))</f>
        <v/>
      </c>
    </row>
    <row r="9206">
      <c r="F9206">
        <f>F9205+1</f>
        <v/>
      </c>
      <c r="G9206" s="92">
        <f>EXP($C$12+$C$8*_xlfn.NORM.S.INV(RAND()))</f>
        <v/>
      </c>
    </row>
    <row r="9207">
      <c r="F9207">
        <f>F9206+1</f>
        <v/>
      </c>
      <c r="G9207" s="92">
        <f>EXP($C$12+$C$8*_xlfn.NORM.S.INV(RAND()))</f>
        <v/>
      </c>
    </row>
    <row r="9208">
      <c r="F9208">
        <f>F9207+1</f>
        <v/>
      </c>
      <c r="G9208" s="92">
        <f>EXP($C$12+$C$8*_xlfn.NORM.S.INV(RAND()))</f>
        <v/>
      </c>
    </row>
    <row r="9209">
      <c r="F9209">
        <f>F9208+1</f>
        <v/>
      </c>
      <c r="G9209" s="92">
        <f>EXP($C$12+$C$8*_xlfn.NORM.S.INV(RAND()))</f>
        <v/>
      </c>
    </row>
    <row r="9210">
      <c r="F9210">
        <f>F9209+1</f>
        <v/>
      </c>
      <c r="G9210" s="92">
        <f>EXP($C$12+$C$8*_xlfn.NORM.S.INV(RAND()))</f>
        <v/>
      </c>
    </row>
    <row r="9211">
      <c r="F9211">
        <f>F9210+1</f>
        <v/>
      </c>
      <c r="G9211" s="92">
        <f>EXP($C$12+$C$8*_xlfn.NORM.S.INV(RAND()))</f>
        <v/>
      </c>
    </row>
    <row r="9212">
      <c r="F9212">
        <f>F9211+1</f>
        <v/>
      </c>
      <c r="G9212" s="92">
        <f>EXP($C$12+$C$8*_xlfn.NORM.S.INV(RAND()))</f>
        <v/>
      </c>
    </row>
    <row r="9213">
      <c r="F9213">
        <f>F9212+1</f>
        <v/>
      </c>
      <c r="G9213" s="92">
        <f>EXP($C$12+$C$8*_xlfn.NORM.S.INV(RAND()))</f>
        <v/>
      </c>
    </row>
    <row r="9214">
      <c r="F9214">
        <f>F9213+1</f>
        <v/>
      </c>
      <c r="G9214" s="92">
        <f>EXP($C$12+$C$8*_xlfn.NORM.S.INV(RAND()))</f>
        <v/>
      </c>
    </row>
    <row r="9215">
      <c r="F9215">
        <f>F9214+1</f>
        <v/>
      </c>
      <c r="G9215" s="92">
        <f>EXP($C$12+$C$8*_xlfn.NORM.S.INV(RAND()))</f>
        <v/>
      </c>
    </row>
    <row r="9216">
      <c r="F9216">
        <f>F9215+1</f>
        <v/>
      </c>
      <c r="G9216" s="92">
        <f>EXP($C$12+$C$8*_xlfn.NORM.S.INV(RAND()))</f>
        <v/>
      </c>
    </row>
    <row r="9217">
      <c r="F9217">
        <f>F9216+1</f>
        <v/>
      </c>
      <c r="G9217" s="92">
        <f>EXP($C$12+$C$8*_xlfn.NORM.S.INV(RAND()))</f>
        <v/>
      </c>
    </row>
    <row r="9218">
      <c r="F9218">
        <f>F9217+1</f>
        <v/>
      </c>
      <c r="G9218" s="92">
        <f>EXP($C$12+$C$8*_xlfn.NORM.S.INV(RAND()))</f>
        <v/>
      </c>
    </row>
    <row r="9219">
      <c r="F9219">
        <f>F9218+1</f>
        <v/>
      </c>
      <c r="G9219" s="92">
        <f>EXP($C$12+$C$8*_xlfn.NORM.S.INV(RAND()))</f>
        <v/>
      </c>
    </row>
    <row r="9220">
      <c r="F9220">
        <f>F9219+1</f>
        <v/>
      </c>
      <c r="G9220" s="92">
        <f>EXP($C$12+$C$8*_xlfn.NORM.S.INV(RAND()))</f>
        <v/>
      </c>
    </row>
    <row r="9221">
      <c r="F9221">
        <f>F9220+1</f>
        <v/>
      </c>
      <c r="G9221" s="92">
        <f>EXP($C$12+$C$8*_xlfn.NORM.S.INV(RAND()))</f>
        <v/>
      </c>
    </row>
    <row r="9222">
      <c r="F9222">
        <f>F9221+1</f>
        <v/>
      </c>
      <c r="G9222" s="92">
        <f>EXP($C$12+$C$8*_xlfn.NORM.S.INV(RAND()))</f>
        <v/>
      </c>
    </row>
    <row r="9223">
      <c r="F9223">
        <f>F9222+1</f>
        <v/>
      </c>
      <c r="G9223" s="92">
        <f>EXP($C$12+$C$8*_xlfn.NORM.S.INV(RAND()))</f>
        <v/>
      </c>
    </row>
    <row r="9224">
      <c r="F9224">
        <f>F9223+1</f>
        <v/>
      </c>
      <c r="G9224" s="92">
        <f>EXP($C$12+$C$8*_xlfn.NORM.S.INV(RAND()))</f>
        <v/>
      </c>
    </row>
    <row r="9225">
      <c r="F9225">
        <f>F9224+1</f>
        <v/>
      </c>
      <c r="G9225" s="92">
        <f>EXP($C$12+$C$8*_xlfn.NORM.S.INV(RAND()))</f>
        <v/>
      </c>
    </row>
    <row r="9226">
      <c r="F9226">
        <f>F9225+1</f>
        <v/>
      </c>
      <c r="G9226" s="92">
        <f>EXP($C$12+$C$8*_xlfn.NORM.S.INV(RAND()))</f>
        <v/>
      </c>
    </row>
    <row r="9227">
      <c r="F9227">
        <f>F9226+1</f>
        <v/>
      </c>
      <c r="G9227" s="92">
        <f>EXP($C$12+$C$8*_xlfn.NORM.S.INV(RAND()))</f>
        <v/>
      </c>
    </row>
    <row r="9228">
      <c r="F9228">
        <f>F9227+1</f>
        <v/>
      </c>
      <c r="G9228" s="92">
        <f>EXP($C$12+$C$8*_xlfn.NORM.S.INV(RAND()))</f>
        <v/>
      </c>
    </row>
    <row r="9229">
      <c r="F9229">
        <f>F9228+1</f>
        <v/>
      </c>
      <c r="G9229" s="92">
        <f>EXP($C$12+$C$8*_xlfn.NORM.S.INV(RAND()))</f>
        <v/>
      </c>
    </row>
    <row r="9230">
      <c r="F9230">
        <f>F9229+1</f>
        <v/>
      </c>
      <c r="G9230" s="92">
        <f>EXP($C$12+$C$8*_xlfn.NORM.S.INV(RAND()))</f>
        <v/>
      </c>
    </row>
    <row r="9231">
      <c r="F9231">
        <f>F9230+1</f>
        <v/>
      </c>
      <c r="G9231" s="92">
        <f>EXP($C$12+$C$8*_xlfn.NORM.S.INV(RAND()))</f>
        <v/>
      </c>
    </row>
    <row r="9232">
      <c r="F9232">
        <f>F9231+1</f>
        <v/>
      </c>
      <c r="G9232" s="92">
        <f>EXP($C$12+$C$8*_xlfn.NORM.S.INV(RAND()))</f>
        <v/>
      </c>
    </row>
    <row r="9233">
      <c r="F9233">
        <f>F9232+1</f>
        <v/>
      </c>
      <c r="G9233" s="92">
        <f>EXP($C$12+$C$8*_xlfn.NORM.S.INV(RAND()))</f>
        <v/>
      </c>
    </row>
    <row r="9234">
      <c r="F9234">
        <f>F9233+1</f>
        <v/>
      </c>
      <c r="G9234" s="92">
        <f>EXP($C$12+$C$8*_xlfn.NORM.S.INV(RAND()))</f>
        <v/>
      </c>
    </row>
    <row r="9235">
      <c r="F9235">
        <f>F9234+1</f>
        <v/>
      </c>
      <c r="G9235" s="92">
        <f>EXP($C$12+$C$8*_xlfn.NORM.S.INV(RAND()))</f>
        <v/>
      </c>
    </row>
    <row r="9236">
      <c r="F9236">
        <f>F9235+1</f>
        <v/>
      </c>
      <c r="G9236" s="92">
        <f>EXP($C$12+$C$8*_xlfn.NORM.S.INV(RAND()))</f>
        <v/>
      </c>
    </row>
    <row r="9237">
      <c r="F9237">
        <f>F9236+1</f>
        <v/>
      </c>
      <c r="G9237" s="92">
        <f>EXP($C$12+$C$8*_xlfn.NORM.S.INV(RAND()))</f>
        <v/>
      </c>
    </row>
    <row r="9238">
      <c r="F9238">
        <f>F9237+1</f>
        <v/>
      </c>
      <c r="G9238" s="92">
        <f>EXP($C$12+$C$8*_xlfn.NORM.S.INV(RAND()))</f>
        <v/>
      </c>
    </row>
    <row r="9239">
      <c r="F9239">
        <f>F9238+1</f>
        <v/>
      </c>
      <c r="G9239" s="92">
        <f>EXP($C$12+$C$8*_xlfn.NORM.S.INV(RAND()))</f>
        <v/>
      </c>
    </row>
    <row r="9240">
      <c r="F9240">
        <f>F9239+1</f>
        <v/>
      </c>
      <c r="G9240" s="92">
        <f>EXP($C$12+$C$8*_xlfn.NORM.S.INV(RAND()))</f>
        <v/>
      </c>
    </row>
    <row r="9241">
      <c r="F9241">
        <f>F9240+1</f>
        <v/>
      </c>
      <c r="G9241" s="92">
        <f>EXP($C$12+$C$8*_xlfn.NORM.S.INV(RAND()))</f>
        <v/>
      </c>
    </row>
    <row r="9242">
      <c r="F9242">
        <f>F9241+1</f>
        <v/>
      </c>
      <c r="G9242" s="92">
        <f>EXP($C$12+$C$8*_xlfn.NORM.S.INV(RAND()))</f>
        <v/>
      </c>
    </row>
    <row r="9243">
      <c r="F9243">
        <f>F9242+1</f>
        <v/>
      </c>
      <c r="G9243" s="92">
        <f>EXP($C$12+$C$8*_xlfn.NORM.S.INV(RAND()))</f>
        <v/>
      </c>
    </row>
    <row r="9244">
      <c r="F9244">
        <f>F9243+1</f>
        <v/>
      </c>
      <c r="G9244" s="92">
        <f>EXP($C$12+$C$8*_xlfn.NORM.S.INV(RAND()))</f>
        <v/>
      </c>
    </row>
    <row r="9245">
      <c r="F9245">
        <f>F9244+1</f>
        <v/>
      </c>
      <c r="G9245" s="92">
        <f>EXP($C$12+$C$8*_xlfn.NORM.S.INV(RAND()))</f>
        <v/>
      </c>
    </row>
    <row r="9246">
      <c r="F9246">
        <f>F9245+1</f>
        <v/>
      </c>
      <c r="G9246" s="92">
        <f>EXP($C$12+$C$8*_xlfn.NORM.S.INV(RAND()))</f>
        <v/>
      </c>
    </row>
    <row r="9247">
      <c r="F9247">
        <f>F9246+1</f>
        <v/>
      </c>
      <c r="G9247" s="92">
        <f>EXP($C$12+$C$8*_xlfn.NORM.S.INV(RAND()))</f>
        <v/>
      </c>
    </row>
    <row r="9248">
      <c r="F9248">
        <f>F9247+1</f>
        <v/>
      </c>
      <c r="G9248" s="92">
        <f>EXP($C$12+$C$8*_xlfn.NORM.S.INV(RAND()))</f>
        <v/>
      </c>
    </row>
    <row r="9249">
      <c r="F9249">
        <f>F9248+1</f>
        <v/>
      </c>
      <c r="G9249" s="92">
        <f>EXP($C$12+$C$8*_xlfn.NORM.S.INV(RAND()))</f>
        <v/>
      </c>
    </row>
    <row r="9250">
      <c r="F9250">
        <f>F9249+1</f>
        <v/>
      </c>
      <c r="G9250" s="92">
        <f>EXP($C$12+$C$8*_xlfn.NORM.S.INV(RAND()))</f>
        <v/>
      </c>
    </row>
    <row r="9251">
      <c r="F9251">
        <f>F9250+1</f>
        <v/>
      </c>
      <c r="G9251" s="92">
        <f>EXP($C$12+$C$8*_xlfn.NORM.S.INV(RAND()))</f>
        <v/>
      </c>
    </row>
    <row r="9252">
      <c r="F9252">
        <f>F9251+1</f>
        <v/>
      </c>
      <c r="G9252" s="92">
        <f>EXP($C$12+$C$8*_xlfn.NORM.S.INV(RAND()))</f>
        <v/>
      </c>
    </row>
    <row r="9253">
      <c r="F9253">
        <f>F9252+1</f>
        <v/>
      </c>
      <c r="G9253" s="92">
        <f>EXP($C$12+$C$8*_xlfn.NORM.S.INV(RAND()))</f>
        <v/>
      </c>
    </row>
    <row r="9254">
      <c r="F9254">
        <f>F9253+1</f>
        <v/>
      </c>
      <c r="G9254" s="92">
        <f>EXP($C$12+$C$8*_xlfn.NORM.S.INV(RAND()))</f>
        <v/>
      </c>
    </row>
    <row r="9255">
      <c r="F9255">
        <f>F9254+1</f>
        <v/>
      </c>
      <c r="G9255" s="92">
        <f>EXP($C$12+$C$8*_xlfn.NORM.S.INV(RAND()))</f>
        <v/>
      </c>
    </row>
    <row r="9256">
      <c r="F9256">
        <f>F9255+1</f>
        <v/>
      </c>
      <c r="G9256" s="92">
        <f>EXP($C$12+$C$8*_xlfn.NORM.S.INV(RAND()))</f>
        <v/>
      </c>
    </row>
    <row r="9257">
      <c r="F9257">
        <f>F9256+1</f>
        <v/>
      </c>
      <c r="G9257" s="92">
        <f>EXP($C$12+$C$8*_xlfn.NORM.S.INV(RAND()))</f>
        <v/>
      </c>
    </row>
    <row r="9258">
      <c r="F9258">
        <f>F9257+1</f>
        <v/>
      </c>
      <c r="G9258" s="92">
        <f>EXP($C$12+$C$8*_xlfn.NORM.S.INV(RAND()))</f>
        <v/>
      </c>
    </row>
    <row r="9259">
      <c r="F9259">
        <f>F9258+1</f>
        <v/>
      </c>
      <c r="G9259" s="92">
        <f>EXP($C$12+$C$8*_xlfn.NORM.S.INV(RAND()))</f>
        <v/>
      </c>
    </row>
    <row r="9260">
      <c r="F9260">
        <f>F9259+1</f>
        <v/>
      </c>
      <c r="G9260" s="92">
        <f>EXP($C$12+$C$8*_xlfn.NORM.S.INV(RAND()))</f>
        <v/>
      </c>
    </row>
    <row r="9261">
      <c r="F9261">
        <f>F9260+1</f>
        <v/>
      </c>
      <c r="G9261" s="92">
        <f>EXP($C$12+$C$8*_xlfn.NORM.S.INV(RAND()))</f>
        <v/>
      </c>
    </row>
    <row r="9262">
      <c r="F9262">
        <f>F9261+1</f>
        <v/>
      </c>
      <c r="G9262" s="92">
        <f>EXP($C$12+$C$8*_xlfn.NORM.S.INV(RAND()))</f>
        <v/>
      </c>
    </row>
    <row r="9263">
      <c r="F9263">
        <f>F9262+1</f>
        <v/>
      </c>
      <c r="G9263" s="92">
        <f>EXP($C$12+$C$8*_xlfn.NORM.S.INV(RAND()))</f>
        <v/>
      </c>
    </row>
    <row r="9264">
      <c r="F9264">
        <f>F9263+1</f>
        <v/>
      </c>
      <c r="G9264" s="92">
        <f>EXP($C$12+$C$8*_xlfn.NORM.S.INV(RAND()))</f>
        <v/>
      </c>
    </row>
    <row r="9265">
      <c r="F9265">
        <f>F9264+1</f>
        <v/>
      </c>
      <c r="G9265" s="92">
        <f>EXP($C$12+$C$8*_xlfn.NORM.S.INV(RAND()))</f>
        <v/>
      </c>
    </row>
    <row r="9266">
      <c r="F9266">
        <f>F9265+1</f>
        <v/>
      </c>
      <c r="G9266" s="92">
        <f>EXP($C$12+$C$8*_xlfn.NORM.S.INV(RAND()))</f>
        <v/>
      </c>
    </row>
    <row r="9267">
      <c r="F9267">
        <f>F9266+1</f>
        <v/>
      </c>
      <c r="G9267" s="92">
        <f>EXP($C$12+$C$8*_xlfn.NORM.S.INV(RAND()))</f>
        <v/>
      </c>
    </row>
    <row r="9268">
      <c r="F9268">
        <f>F9267+1</f>
        <v/>
      </c>
      <c r="G9268" s="92">
        <f>EXP($C$12+$C$8*_xlfn.NORM.S.INV(RAND()))</f>
        <v/>
      </c>
    </row>
    <row r="9269">
      <c r="F9269">
        <f>F9268+1</f>
        <v/>
      </c>
      <c r="G9269" s="92">
        <f>EXP($C$12+$C$8*_xlfn.NORM.S.INV(RAND()))</f>
        <v/>
      </c>
    </row>
    <row r="9270">
      <c r="F9270">
        <f>F9269+1</f>
        <v/>
      </c>
      <c r="G9270" s="92">
        <f>EXP($C$12+$C$8*_xlfn.NORM.S.INV(RAND()))</f>
        <v/>
      </c>
    </row>
    <row r="9271">
      <c r="F9271">
        <f>F9270+1</f>
        <v/>
      </c>
      <c r="G9271" s="92">
        <f>EXP($C$12+$C$8*_xlfn.NORM.S.INV(RAND()))</f>
        <v/>
      </c>
    </row>
    <row r="9272">
      <c r="F9272">
        <f>F9271+1</f>
        <v/>
      </c>
      <c r="G9272" s="92">
        <f>EXP($C$12+$C$8*_xlfn.NORM.S.INV(RAND()))</f>
        <v/>
      </c>
    </row>
    <row r="9273">
      <c r="F9273">
        <f>F9272+1</f>
        <v/>
      </c>
      <c r="G9273" s="92">
        <f>EXP($C$12+$C$8*_xlfn.NORM.S.INV(RAND()))</f>
        <v/>
      </c>
    </row>
    <row r="9274">
      <c r="F9274">
        <f>F9273+1</f>
        <v/>
      </c>
      <c r="G9274" s="92">
        <f>EXP($C$12+$C$8*_xlfn.NORM.S.INV(RAND()))</f>
        <v/>
      </c>
    </row>
    <row r="9275">
      <c r="F9275">
        <f>F9274+1</f>
        <v/>
      </c>
      <c r="G9275" s="92">
        <f>EXP($C$12+$C$8*_xlfn.NORM.S.INV(RAND()))</f>
        <v/>
      </c>
    </row>
    <row r="9276">
      <c r="F9276">
        <f>F9275+1</f>
        <v/>
      </c>
      <c r="G9276" s="92">
        <f>EXP($C$12+$C$8*_xlfn.NORM.S.INV(RAND()))</f>
        <v/>
      </c>
    </row>
    <row r="9277">
      <c r="F9277">
        <f>F9276+1</f>
        <v/>
      </c>
      <c r="G9277" s="92">
        <f>EXP($C$12+$C$8*_xlfn.NORM.S.INV(RAND()))</f>
        <v/>
      </c>
    </row>
    <row r="9278">
      <c r="F9278">
        <f>F9277+1</f>
        <v/>
      </c>
      <c r="G9278" s="92">
        <f>EXP($C$12+$C$8*_xlfn.NORM.S.INV(RAND()))</f>
        <v/>
      </c>
    </row>
    <row r="9279">
      <c r="F9279">
        <f>F9278+1</f>
        <v/>
      </c>
      <c r="G9279" s="92">
        <f>EXP($C$12+$C$8*_xlfn.NORM.S.INV(RAND()))</f>
        <v/>
      </c>
    </row>
    <row r="9280">
      <c r="F9280">
        <f>F9279+1</f>
        <v/>
      </c>
      <c r="G9280" s="92">
        <f>EXP($C$12+$C$8*_xlfn.NORM.S.INV(RAND()))</f>
        <v/>
      </c>
    </row>
    <row r="9281">
      <c r="F9281">
        <f>F9280+1</f>
        <v/>
      </c>
      <c r="G9281" s="92">
        <f>EXP($C$12+$C$8*_xlfn.NORM.S.INV(RAND()))</f>
        <v/>
      </c>
    </row>
    <row r="9282">
      <c r="F9282">
        <f>F9281+1</f>
        <v/>
      </c>
      <c r="G9282" s="92">
        <f>EXP($C$12+$C$8*_xlfn.NORM.S.INV(RAND()))</f>
        <v/>
      </c>
    </row>
    <row r="9283">
      <c r="F9283">
        <f>F9282+1</f>
        <v/>
      </c>
      <c r="G9283" s="92">
        <f>EXP($C$12+$C$8*_xlfn.NORM.S.INV(RAND()))</f>
        <v/>
      </c>
    </row>
    <row r="9284">
      <c r="F9284">
        <f>F9283+1</f>
        <v/>
      </c>
      <c r="G9284" s="92">
        <f>EXP($C$12+$C$8*_xlfn.NORM.S.INV(RAND()))</f>
        <v/>
      </c>
    </row>
    <row r="9285">
      <c r="F9285">
        <f>F9284+1</f>
        <v/>
      </c>
      <c r="G9285" s="92">
        <f>EXP($C$12+$C$8*_xlfn.NORM.S.INV(RAND()))</f>
        <v/>
      </c>
    </row>
    <row r="9286">
      <c r="F9286">
        <f>F9285+1</f>
        <v/>
      </c>
      <c r="G9286" s="92">
        <f>EXP($C$12+$C$8*_xlfn.NORM.S.INV(RAND()))</f>
        <v/>
      </c>
    </row>
    <row r="9287">
      <c r="F9287">
        <f>F9286+1</f>
        <v/>
      </c>
      <c r="G9287" s="92">
        <f>EXP($C$12+$C$8*_xlfn.NORM.S.INV(RAND()))</f>
        <v/>
      </c>
    </row>
    <row r="9288">
      <c r="F9288">
        <f>F9287+1</f>
        <v/>
      </c>
      <c r="G9288" s="92">
        <f>EXP($C$12+$C$8*_xlfn.NORM.S.INV(RAND()))</f>
        <v/>
      </c>
    </row>
    <row r="9289">
      <c r="F9289">
        <f>F9288+1</f>
        <v/>
      </c>
      <c r="G9289" s="92">
        <f>EXP($C$12+$C$8*_xlfn.NORM.S.INV(RAND()))</f>
        <v/>
      </c>
    </row>
    <row r="9290">
      <c r="F9290">
        <f>F9289+1</f>
        <v/>
      </c>
      <c r="G9290" s="92">
        <f>EXP($C$12+$C$8*_xlfn.NORM.S.INV(RAND()))</f>
        <v/>
      </c>
    </row>
    <row r="9291">
      <c r="F9291">
        <f>F9290+1</f>
        <v/>
      </c>
      <c r="G9291" s="92">
        <f>EXP($C$12+$C$8*_xlfn.NORM.S.INV(RAND()))</f>
        <v/>
      </c>
    </row>
    <row r="9292">
      <c r="F9292">
        <f>F9291+1</f>
        <v/>
      </c>
      <c r="G9292" s="92">
        <f>EXP($C$12+$C$8*_xlfn.NORM.S.INV(RAND()))</f>
        <v/>
      </c>
    </row>
    <row r="9293">
      <c r="F9293">
        <f>F9292+1</f>
        <v/>
      </c>
      <c r="G9293" s="92">
        <f>EXP($C$12+$C$8*_xlfn.NORM.S.INV(RAND()))</f>
        <v/>
      </c>
    </row>
    <row r="9294">
      <c r="F9294">
        <f>F9293+1</f>
        <v/>
      </c>
      <c r="G9294" s="92">
        <f>EXP($C$12+$C$8*_xlfn.NORM.S.INV(RAND()))</f>
        <v/>
      </c>
    </row>
    <row r="9295">
      <c r="F9295">
        <f>F9294+1</f>
        <v/>
      </c>
      <c r="G9295" s="92">
        <f>EXP($C$12+$C$8*_xlfn.NORM.S.INV(RAND()))</f>
        <v/>
      </c>
    </row>
    <row r="9296">
      <c r="F9296">
        <f>F9295+1</f>
        <v/>
      </c>
      <c r="G9296" s="92">
        <f>EXP($C$12+$C$8*_xlfn.NORM.S.INV(RAND()))</f>
        <v/>
      </c>
    </row>
    <row r="9297">
      <c r="F9297">
        <f>F9296+1</f>
        <v/>
      </c>
      <c r="G9297" s="92">
        <f>EXP($C$12+$C$8*_xlfn.NORM.S.INV(RAND()))</f>
        <v/>
      </c>
    </row>
    <row r="9298">
      <c r="F9298">
        <f>F9297+1</f>
        <v/>
      </c>
      <c r="G9298" s="92">
        <f>EXP($C$12+$C$8*_xlfn.NORM.S.INV(RAND()))</f>
        <v/>
      </c>
    </row>
    <row r="9299">
      <c r="F9299">
        <f>F9298+1</f>
        <v/>
      </c>
      <c r="G9299" s="92">
        <f>EXP($C$12+$C$8*_xlfn.NORM.S.INV(RAND()))</f>
        <v/>
      </c>
    </row>
    <row r="9300">
      <c r="F9300">
        <f>F9299+1</f>
        <v/>
      </c>
      <c r="G9300" s="92">
        <f>EXP($C$12+$C$8*_xlfn.NORM.S.INV(RAND()))</f>
        <v/>
      </c>
    </row>
    <row r="9301">
      <c r="F9301">
        <f>F9300+1</f>
        <v/>
      </c>
      <c r="G9301" s="92">
        <f>EXP($C$12+$C$8*_xlfn.NORM.S.INV(RAND()))</f>
        <v/>
      </c>
    </row>
    <row r="9302">
      <c r="F9302">
        <f>F9301+1</f>
        <v/>
      </c>
      <c r="G9302" s="92">
        <f>EXP($C$12+$C$8*_xlfn.NORM.S.INV(RAND()))</f>
        <v/>
      </c>
    </row>
    <row r="9303">
      <c r="F9303">
        <f>F9302+1</f>
        <v/>
      </c>
      <c r="G9303" s="92">
        <f>EXP($C$12+$C$8*_xlfn.NORM.S.INV(RAND()))</f>
        <v/>
      </c>
    </row>
    <row r="9304">
      <c r="F9304">
        <f>F9303+1</f>
        <v/>
      </c>
      <c r="G9304" s="92">
        <f>EXP($C$12+$C$8*_xlfn.NORM.S.INV(RAND()))</f>
        <v/>
      </c>
    </row>
    <row r="9305">
      <c r="F9305">
        <f>F9304+1</f>
        <v/>
      </c>
      <c r="G9305" s="92">
        <f>EXP($C$12+$C$8*_xlfn.NORM.S.INV(RAND()))</f>
        <v/>
      </c>
    </row>
    <row r="9306">
      <c r="F9306">
        <f>F9305+1</f>
        <v/>
      </c>
      <c r="G9306" s="92">
        <f>EXP($C$12+$C$8*_xlfn.NORM.S.INV(RAND()))</f>
        <v/>
      </c>
    </row>
    <row r="9307">
      <c r="F9307">
        <f>F9306+1</f>
        <v/>
      </c>
      <c r="G9307" s="92">
        <f>EXP($C$12+$C$8*_xlfn.NORM.S.INV(RAND()))</f>
        <v/>
      </c>
    </row>
    <row r="9308">
      <c r="F9308">
        <f>F9307+1</f>
        <v/>
      </c>
      <c r="G9308" s="92">
        <f>EXP($C$12+$C$8*_xlfn.NORM.S.INV(RAND()))</f>
        <v/>
      </c>
    </row>
    <row r="9309">
      <c r="F9309">
        <f>F9308+1</f>
        <v/>
      </c>
      <c r="G9309" s="92">
        <f>EXP($C$12+$C$8*_xlfn.NORM.S.INV(RAND()))</f>
        <v/>
      </c>
    </row>
    <row r="9310">
      <c r="F9310">
        <f>F9309+1</f>
        <v/>
      </c>
      <c r="G9310" s="92">
        <f>EXP($C$12+$C$8*_xlfn.NORM.S.INV(RAND()))</f>
        <v/>
      </c>
    </row>
    <row r="9311">
      <c r="F9311">
        <f>F9310+1</f>
        <v/>
      </c>
      <c r="G9311" s="92">
        <f>EXP($C$12+$C$8*_xlfn.NORM.S.INV(RAND()))</f>
        <v/>
      </c>
    </row>
    <row r="9312">
      <c r="F9312">
        <f>F9311+1</f>
        <v/>
      </c>
      <c r="G9312" s="92">
        <f>EXP($C$12+$C$8*_xlfn.NORM.S.INV(RAND()))</f>
        <v/>
      </c>
    </row>
    <row r="9313">
      <c r="F9313">
        <f>F9312+1</f>
        <v/>
      </c>
      <c r="G9313" s="92">
        <f>EXP($C$12+$C$8*_xlfn.NORM.S.INV(RAND()))</f>
        <v/>
      </c>
    </row>
    <row r="9314">
      <c r="F9314">
        <f>F9313+1</f>
        <v/>
      </c>
      <c r="G9314" s="92">
        <f>EXP($C$12+$C$8*_xlfn.NORM.S.INV(RAND()))</f>
        <v/>
      </c>
    </row>
    <row r="9315">
      <c r="F9315">
        <f>F9314+1</f>
        <v/>
      </c>
      <c r="G9315" s="92">
        <f>EXP($C$12+$C$8*_xlfn.NORM.S.INV(RAND()))</f>
        <v/>
      </c>
    </row>
    <row r="9316">
      <c r="F9316">
        <f>F9315+1</f>
        <v/>
      </c>
      <c r="G9316" s="92">
        <f>EXP($C$12+$C$8*_xlfn.NORM.S.INV(RAND()))</f>
        <v/>
      </c>
    </row>
    <row r="9317">
      <c r="F9317">
        <f>F9316+1</f>
        <v/>
      </c>
      <c r="G9317" s="92">
        <f>EXP($C$12+$C$8*_xlfn.NORM.S.INV(RAND()))</f>
        <v/>
      </c>
    </row>
    <row r="9318">
      <c r="F9318">
        <f>F9317+1</f>
        <v/>
      </c>
      <c r="G9318" s="92">
        <f>EXP($C$12+$C$8*_xlfn.NORM.S.INV(RAND()))</f>
        <v/>
      </c>
    </row>
    <row r="9319">
      <c r="F9319">
        <f>F9318+1</f>
        <v/>
      </c>
      <c r="G9319" s="92">
        <f>EXP($C$12+$C$8*_xlfn.NORM.S.INV(RAND()))</f>
        <v/>
      </c>
    </row>
    <row r="9320">
      <c r="F9320">
        <f>F9319+1</f>
        <v/>
      </c>
      <c r="G9320" s="92">
        <f>EXP($C$12+$C$8*_xlfn.NORM.S.INV(RAND()))</f>
        <v/>
      </c>
    </row>
    <row r="9321">
      <c r="F9321">
        <f>F9320+1</f>
        <v/>
      </c>
      <c r="G9321" s="92">
        <f>EXP($C$12+$C$8*_xlfn.NORM.S.INV(RAND()))</f>
        <v/>
      </c>
    </row>
    <row r="9322">
      <c r="F9322">
        <f>F9321+1</f>
        <v/>
      </c>
      <c r="G9322" s="92">
        <f>EXP($C$12+$C$8*_xlfn.NORM.S.INV(RAND()))</f>
        <v/>
      </c>
    </row>
    <row r="9323">
      <c r="F9323">
        <f>F9322+1</f>
        <v/>
      </c>
      <c r="G9323" s="92">
        <f>EXP($C$12+$C$8*_xlfn.NORM.S.INV(RAND()))</f>
        <v/>
      </c>
    </row>
    <row r="9324">
      <c r="F9324">
        <f>F9323+1</f>
        <v/>
      </c>
      <c r="G9324" s="92">
        <f>EXP($C$12+$C$8*_xlfn.NORM.S.INV(RAND()))</f>
        <v/>
      </c>
    </row>
    <row r="9325">
      <c r="F9325">
        <f>F9324+1</f>
        <v/>
      </c>
      <c r="G9325" s="92">
        <f>EXP($C$12+$C$8*_xlfn.NORM.S.INV(RAND()))</f>
        <v/>
      </c>
    </row>
    <row r="9326">
      <c r="F9326">
        <f>F9325+1</f>
        <v/>
      </c>
      <c r="G9326" s="92">
        <f>EXP($C$12+$C$8*_xlfn.NORM.S.INV(RAND()))</f>
        <v/>
      </c>
    </row>
    <row r="9327">
      <c r="F9327">
        <f>F9326+1</f>
        <v/>
      </c>
      <c r="G9327" s="92">
        <f>EXP($C$12+$C$8*_xlfn.NORM.S.INV(RAND()))</f>
        <v/>
      </c>
    </row>
    <row r="9328">
      <c r="F9328">
        <f>F9327+1</f>
        <v/>
      </c>
      <c r="G9328" s="92">
        <f>EXP($C$12+$C$8*_xlfn.NORM.S.INV(RAND()))</f>
        <v/>
      </c>
    </row>
    <row r="9329">
      <c r="F9329">
        <f>F9328+1</f>
        <v/>
      </c>
      <c r="G9329" s="92">
        <f>EXP($C$12+$C$8*_xlfn.NORM.S.INV(RAND()))</f>
        <v/>
      </c>
    </row>
    <row r="9330">
      <c r="F9330">
        <f>F9329+1</f>
        <v/>
      </c>
      <c r="G9330" s="92">
        <f>EXP($C$12+$C$8*_xlfn.NORM.S.INV(RAND()))</f>
        <v/>
      </c>
    </row>
    <row r="9331">
      <c r="F9331">
        <f>F9330+1</f>
        <v/>
      </c>
      <c r="G9331" s="92">
        <f>EXP($C$12+$C$8*_xlfn.NORM.S.INV(RAND()))</f>
        <v/>
      </c>
    </row>
    <row r="9332">
      <c r="F9332">
        <f>F9331+1</f>
        <v/>
      </c>
      <c r="G9332" s="92">
        <f>EXP($C$12+$C$8*_xlfn.NORM.S.INV(RAND()))</f>
        <v/>
      </c>
    </row>
    <row r="9333">
      <c r="F9333">
        <f>F9332+1</f>
        <v/>
      </c>
      <c r="G9333" s="92">
        <f>EXP($C$12+$C$8*_xlfn.NORM.S.INV(RAND()))</f>
        <v/>
      </c>
    </row>
    <row r="9334">
      <c r="F9334">
        <f>F9333+1</f>
        <v/>
      </c>
      <c r="G9334" s="92">
        <f>EXP($C$12+$C$8*_xlfn.NORM.S.INV(RAND()))</f>
        <v/>
      </c>
    </row>
    <row r="9335">
      <c r="F9335">
        <f>F9334+1</f>
        <v/>
      </c>
      <c r="G9335" s="92">
        <f>EXP($C$12+$C$8*_xlfn.NORM.S.INV(RAND()))</f>
        <v/>
      </c>
    </row>
    <row r="9336">
      <c r="F9336">
        <f>F9335+1</f>
        <v/>
      </c>
      <c r="G9336" s="92">
        <f>EXP($C$12+$C$8*_xlfn.NORM.S.INV(RAND()))</f>
        <v/>
      </c>
    </row>
    <row r="9337">
      <c r="F9337">
        <f>F9336+1</f>
        <v/>
      </c>
      <c r="G9337" s="92">
        <f>EXP($C$12+$C$8*_xlfn.NORM.S.INV(RAND()))</f>
        <v/>
      </c>
    </row>
    <row r="9338">
      <c r="F9338">
        <f>F9337+1</f>
        <v/>
      </c>
      <c r="G9338" s="92">
        <f>EXP($C$12+$C$8*_xlfn.NORM.S.INV(RAND()))</f>
        <v/>
      </c>
    </row>
    <row r="9339">
      <c r="F9339">
        <f>F9338+1</f>
        <v/>
      </c>
      <c r="G9339" s="92">
        <f>EXP($C$12+$C$8*_xlfn.NORM.S.INV(RAND()))</f>
        <v/>
      </c>
    </row>
    <row r="9340">
      <c r="F9340">
        <f>F9339+1</f>
        <v/>
      </c>
      <c r="G9340" s="92">
        <f>EXP($C$12+$C$8*_xlfn.NORM.S.INV(RAND()))</f>
        <v/>
      </c>
    </row>
    <row r="9341">
      <c r="F9341">
        <f>F9340+1</f>
        <v/>
      </c>
      <c r="G9341" s="92">
        <f>EXP($C$12+$C$8*_xlfn.NORM.S.INV(RAND()))</f>
        <v/>
      </c>
    </row>
    <row r="9342">
      <c r="F9342">
        <f>F9341+1</f>
        <v/>
      </c>
      <c r="G9342" s="92">
        <f>EXP($C$12+$C$8*_xlfn.NORM.S.INV(RAND()))</f>
        <v/>
      </c>
    </row>
    <row r="9343">
      <c r="F9343">
        <f>F9342+1</f>
        <v/>
      </c>
      <c r="G9343" s="92">
        <f>EXP($C$12+$C$8*_xlfn.NORM.S.INV(RAND()))</f>
        <v/>
      </c>
    </row>
    <row r="9344">
      <c r="F9344">
        <f>F9343+1</f>
        <v/>
      </c>
      <c r="G9344" s="92">
        <f>EXP($C$12+$C$8*_xlfn.NORM.S.INV(RAND()))</f>
        <v/>
      </c>
    </row>
    <row r="9345">
      <c r="F9345">
        <f>F9344+1</f>
        <v/>
      </c>
      <c r="G9345" s="92">
        <f>EXP($C$12+$C$8*_xlfn.NORM.S.INV(RAND()))</f>
        <v/>
      </c>
    </row>
    <row r="9346">
      <c r="F9346">
        <f>F9345+1</f>
        <v/>
      </c>
      <c r="G9346" s="92">
        <f>EXP($C$12+$C$8*_xlfn.NORM.S.INV(RAND()))</f>
        <v/>
      </c>
    </row>
    <row r="9347">
      <c r="F9347">
        <f>F9346+1</f>
        <v/>
      </c>
      <c r="G9347" s="92">
        <f>EXP($C$12+$C$8*_xlfn.NORM.S.INV(RAND()))</f>
        <v/>
      </c>
    </row>
    <row r="9348">
      <c r="F9348">
        <f>F9347+1</f>
        <v/>
      </c>
      <c r="G9348" s="92">
        <f>EXP($C$12+$C$8*_xlfn.NORM.S.INV(RAND()))</f>
        <v/>
      </c>
    </row>
    <row r="9349">
      <c r="F9349">
        <f>F9348+1</f>
        <v/>
      </c>
      <c r="G9349" s="92">
        <f>EXP($C$12+$C$8*_xlfn.NORM.S.INV(RAND()))</f>
        <v/>
      </c>
    </row>
    <row r="9350">
      <c r="F9350">
        <f>F9349+1</f>
        <v/>
      </c>
      <c r="G9350" s="92">
        <f>EXP($C$12+$C$8*_xlfn.NORM.S.INV(RAND()))</f>
        <v/>
      </c>
    </row>
    <row r="9351">
      <c r="F9351">
        <f>F9350+1</f>
        <v/>
      </c>
      <c r="G9351" s="92">
        <f>EXP($C$12+$C$8*_xlfn.NORM.S.INV(RAND()))</f>
        <v/>
      </c>
    </row>
    <row r="9352">
      <c r="F9352">
        <f>F9351+1</f>
        <v/>
      </c>
      <c r="G9352" s="92">
        <f>EXP($C$12+$C$8*_xlfn.NORM.S.INV(RAND()))</f>
        <v/>
      </c>
    </row>
    <row r="9353">
      <c r="F9353">
        <f>F9352+1</f>
        <v/>
      </c>
      <c r="G9353" s="92">
        <f>EXP($C$12+$C$8*_xlfn.NORM.S.INV(RAND()))</f>
        <v/>
      </c>
    </row>
    <row r="9354">
      <c r="F9354">
        <f>F9353+1</f>
        <v/>
      </c>
      <c r="G9354" s="92">
        <f>EXP($C$12+$C$8*_xlfn.NORM.S.INV(RAND()))</f>
        <v/>
      </c>
    </row>
    <row r="9355">
      <c r="F9355">
        <f>F9354+1</f>
        <v/>
      </c>
      <c r="G9355" s="92">
        <f>EXP($C$12+$C$8*_xlfn.NORM.S.INV(RAND()))</f>
        <v/>
      </c>
    </row>
    <row r="9356">
      <c r="F9356">
        <f>F9355+1</f>
        <v/>
      </c>
      <c r="G9356" s="92">
        <f>EXP($C$12+$C$8*_xlfn.NORM.S.INV(RAND()))</f>
        <v/>
      </c>
    </row>
    <row r="9357">
      <c r="F9357">
        <f>F9356+1</f>
        <v/>
      </c>
      <c r="G9357" s="92">
        <f>EXP($C$12+$C$8*_xlfn.NORM.S.INV(RAND()))</f>
        <v/>
      </c>
    </row>
    <row r="9358">
      <c r="F9358">
        <f>F9357+1</f>
        <v/>
      </c>
      <c r="G9358" s="92">
        <f>EXP($C$12+$C$8*_xlfn.NORM.S.INV(RAND()))</f>
        <v/>
      </c>
    </row>
    <row r="9359">
      <c r="F9359">
        <f>F9358+1</f>
        <v/>
      </c>
      <c r="G9359" s="92">
        <f>EXP($C$12+$C$8*_xlfn.NORM.S.INV(RAND()))</f>
        <v/>
      </c>
    </row>
    <row r="9360">
      <c r="F9360">
        <f>F9359+1</f>
        <v/>
      </c>
      <c r="G9360" s="92">
        <f>EXP($C$12+$C$8*_xlfn.NORM.S.INV(RAND()))</f>
        <v/>
      </c>
    </row>
    <row r="9361">
      <c r="F9361">
        <f>F9360+1</f>
        <v/>
      </c>
      <c r="G9361" s="92">
        <f>EXP($C$12+$C$8*_xlfn.NORM.S.INV(RAND()))</f>
        <v/>
      </c>
    </row>
    <row r="9362">
      <c r="F9362">
        <f>F9361+1</f>
        <v/>
      </c>
      <c r="G9362" s="92">
        <f>EXP($C$12+$C$8*_xlfn.NORM.S.INV(RAND()))</f>
        <v/>
      </c>
    </row>
    <row r="9363">
      <c r="F9363">
        <f>F9362+1</f>
        <v/>
      </c>
      <c r="G9363" s="92">
        <f>EXP($C$12+$C$8*_xlfn.NORM.S.INV(RAND()))</f>
        <v/>
      </c>
    </row>
    <row r="9364">
      <c r="F9364">
        <f>F9363+1</f>
        <v/>
      </c>
      <c r="G9364" s="92">
        <f>EXP($C$12+$C$8*_xlfn.NORM.S.INV(RAND()))</f>
        <v/>
      </c>
    </row>
    <row r="9365">
      <c r="F9365">
        <f>F9364+1</f>
        <v/>
      </c>
      <c r="G9365" s="92">
        <f>EXP($C$12+$C$8*_xlfn.NORM.S.INV(RAND()))</f>
        <v/>
      </c>
    </row>
    <row r="9366">
      <c r="F9366">
        <f>F9365+1</f>
        <v/>
      </c>
      <c r="G9366" s="92">
        <f>EXP($C$12+$C$8*_xlfn.NORM.S.INV(RAND()))</f>
        <v/>
      </c>
    </row>
    <row r="9367">
      <c r="F9367">
        <f>F9366+1</f>
        <v/>
      </c>
      <c r="G9367" s="92">
        <f>EXP($C$12+$C$8*_xlfn.NORM.S.INV(RAND()))</f>
        <v/>
      </c>
    </row>
    <row r="9368">
      <c r="F9368">
        <f>F9367+1</f>
        <v/>
      </c>
      <c r="G9368" s="92">
        <f>EXP($C$12+$C$8*_xlfn.NORM.S.INV(RAND()))</f>
        <v/>
      </c>
    </row>
    <row r="9369">
      <c r="F9369">
        <f>F9368+1</f>
        <v/>
      </c>
      <c r="G9369" s="92">
        <f>EXP($C$12+$C$8*_xlfn.NORM.S.INV(RAND()))</f>
        <v/>
      </c>
    </row>
    <row r="9370">
      <c r="F9370">
        <f>F9369+1</f>
        <v/>
      </c>
      <c r="G9370" s="92">
        <f>EXP($C$12+$C$8*_xlfn.NORM.S.INV(RAND()))</f>
        <v/>
      </c>
    </row>
    <row r="9371">
      <c r="F9371">
        <f>F9370+1</f>
        <v/>
      </c>
      <c r="G9371" s="92">
        <f>EXP($C$12+$C$8*_xlfn.NORM.S.INV(RAND()))</f>
        <v/>
      </c>
    </row>
    <row r="9372">
      <c r="F9372">
        <f>F9371+1</f>
        <v/>
      </c>
      <c r="G9372" s="92">
        <f>EXP($C$12+$C$8*_xlfn.NORM.S.INV(RAND()))</f>
        <v/>
      </c>
    </row>
    <row r="9373">
      <c r="F9373">
        <f>F9372+1</f>
        <v/>
      </c>
      <c r="G9373" s="92">
        <f>EXP($C$12+$C$8*_xlfn.NORM.S.INV(RAND()))</f>
        <v/>
      </c>
    </row>
    <row r="9374">
      <c r="F9374">
        <f>F9373+1</f>
        <v/>
      </c>
      <c r="G9374" s="92">
        <f>EXP($C$12+$C$8*_xlfn.NORM.S.INV(RAND()))</f>
        <v/>
      </c>
    </row>
    <row r="9375">
      <c r="F9375">
        <f>F9374+1</f>
        <v/>
      </c>
      <c r="G9375" s="92">
        <f>EXP($C$12+$C$8*_xlfn.NORM.S.INV(RAND()))</f>
        <v/>
      </c>
    </row>
    <row r="9376">
      <c r="F9376">
        <f>F9375+1</f>
        <v/>
      </c>
      <c r="G9376" s="92">
        <f>EXP($C$12+$C$8*_xlfn.NORM.S.INV(RAND()))</f>
        <v/>
      </c>
    </row>
    <row r="9377">
      <c r="F9377">
        <f>F9376+1</f>
        <v/>
      </c>
      <c r="G9377" s="92">
        <f>EXP($C$12+$C$8*_xlfn.NORM.S.INV(RAND()))</f>
        <v/>
      </c>
    </row>
    <row r="9378">
      <c r="F9378">
        <f>F9377+1</f>
        <v/>
      </c>
      <c r="G9378" s="92">
        <f>EXP($C$12+$C$8*_xlfn.NORM.S.INV(RAND()))</f>
        <v/>
      </c>
    </row>
    <row r="9379">
      <c r="F9379">
        <f>F9378+1</f>
        <v/>
      </c>
      <c r="G9379" s="92">
        <f>EXP($C$12+$C$8*_xlfn.NORM.S.INV(RAND()))</f>
        <v/>
      </c>
    </row>
    <row r="9380">
      <c r="F9380">
        <f>F9379+1</f>
        <v/>
      </c>
      <c r="G9380" s="92">
        <f>EXP($C$12+$C$8*_xlfn.NORM.S.INV(RAND()))</f>
        <v/>
      </c>
    </row>
    <row r="9381">
      <c r="F9381">
        <f>F9380+1</f>
        <v/>
      </c>
      <c r="G9381" s="92">
        <f>EXP($C$12+$C$8*_xlfn.NORM.S.INV(RAND()))</f>
        <v/>
      </c>
    </row>
    <row r="9382">
      <c r="F9382">
        <f>F9381+1</f>
        <v/>
      </c>
      <c r="G9382" s="92">
        <f>EXP($C$12+$C$8*_xlfn.NORM.S.INV(RAND()))</f>
        <v/>
      </c>
    </row>
    <row r="9383">
      <c r="F9383">
        <f>F9382+1</f>
        <v/>
      </c>
      <c r="G9383" s="92">
        <f>EXP($C$12+$C$8*_xlfn.NORM.S.INV(RAND()))</f>
        <v/>
      </c>
    </row>
    <row r="9384">
      <c r="F9384">
        <f>F9383+1</f>
        <v/>
      </c>
      <c r="G9384" s="92">
        <f>EXP($C$12+$C$8*_xlfn.NORM.S.INV(RAND()))</f>
        <v/>
      </c>
    </row>
    <row r="9385">
      <c r="F9385">
        <f>F9384+1</f>
        <v/>
      </c>
      <c r="G9385" s="92">
        <f>EXP($C$12+$C$8*_xlfn.NORM.S.INV(RAND()))</f>
        <v/>
      </c>
    </row>
    <row r="9386">
      <c r="F9386">
        <f>F9385+1</f>
        <v/>
      </c>
      <c r="G9386" s="92">
        <f>EXP($C$12+$C$8*_xlfn.NORM.S.INV(RAND()))</f>
        <v/>
      </c>
    </row>
    <row r="9387">
      <c r="F9387">
        <f>F9386+1</f>
        <v/>
      </c>
      <c r="G9387" s="92">
        <f>EXP($C$12+$C$8*_xlfn.NORM.S.INV(RAND()))</f>
        <v/>
      </c>
    </row>
    <row r="9388">
      <c r="F9388">
        <f>F9387+1</f>
        <v/>
      </c>
      <c r="G9388" s="92">
        <f>EXP($C$12+$C$8*_xlfn.NORM.S.INV(RAND()))</f>
        <v/>
      </c>
    </row>
    <row r="9389">
      <c r="F9389">
        <f>F9388+1</f>
        <v/>
      </c>
      <c r="G9389" s="92">
        <f>EXP($C$12+$C$8*_xlfn.NORM.S.INV(RAND()))</f>
        <v/>
      </c>
    </row>
    <row r="9390">
      <c r="F9390">
        <f>F9389+1</f>
        <v/>
      </c>
      <c r="G9390" s="92">
        <f>EXP($C$12+$C$8*_xlfn.NORM.S.INV(RAND()))</f>
        <v/>
      </c>
    </row>
    <row r="9391">
      <c r="F9391">
        <f>F9390+1</f>
        <v/>
      </c>
      <c r="G9391" s="92">
        <f>EXP($C$12+$C$8*_xlfn.NORM.S.INV(RAND()))</f>
        <v/>
      </c>
    </row>
    <row r="9392">
      <c r="F9392">
        <f>F9391+1</f>
        <v/>
      </c>
      <c r="G9392" s="92">
        <f>EXP($C$12+$C$8*_xlfn.NORM.S.INV(RAND()))</f>
        <v/>
      </c>
    </row>
    <row r="9393">
      <c r="F9393">
        <f>F9392+1</f>
        <v/>
      </c>
      <c r="G9393" s="92">
        <f>EXP($C$12+$C$8*_xlfn.NORM.S.INV(RAND()))</f>
        <v/>
      </c>
    </row>
    <row r="9394">
      <c r="F9394">
        <f>F9393+1</f>
        <v/>
      </c>
      <c r="G9394" s="92">
        <f>EXP($C$12+$C$8*_xlfn.NORM.S.INV(RAND()))</f>
        <v/>
      </c>
    </row>
    <row r="9395">
      <c r="F9395">
        <f>F9394+1</f>
        <v/>
      </c>
      <c r="G9395" s="92">
        <f>EXP($C$12+$C$8*_xlfn.NORM.S.INV(RAND()))</f>
        <v/>
      </c>
    </row>
    <row r="9396">
      <c r="F9396">
        <f>F9395+1</f>
        <v/>
      </c>
      <c r="G9396" s="92">
        <f>EXP($C$12+$C$8*_xlfn.NORM.S.INV(RAND()))</f>
        <v/>
      </c>
    </row>
    <row r="9397">
      <c r="F9397">
        <f>F9396+1</f>
        <v/>
      </c>
      <c r="G9397" s="92">
        <f>EXP($C$12+$C$8*_xlfn.NORM.S.INV(RAND()))</f>
        <v/>
      </c>
    </row>
    <row r="9398">
      <c r="F9398">
        <f>F9397+1</f>
        <v/>
      </c>
      <c r="G9398" s="92">
        <f>EXP($C$12+$C$8*_xlfn.NORM.S.INV(RAND()))</f>
        <v/>
      </c>
    </row>
    <row r="9399">
      <c r="F9399">
        <f>F9398+1</f>
        <v/>
      </c>
      <c r="G9399" s="92">
        <f>EXP($C$12+$C$8*_xlfn.NORM.S.INV(RAND()))</f>
        <v/>
      </c>
    </row>
    <row r="9400">
      <c r="F9400">
        <f>F9399+1</f>
        <v/>
      </c>
      <c r="G9400" s="92">
        <f>EXP($C$12+$C$8*_xlfn.NORM.S.INV(RAND()))</f>
        <v/>
      </c>
    </row>
    <row r="9401">
      <c r="F9401">
        <f>F9400+1</f>
        <v/>
      </c>
      <c r="G9401" s="92">
        <f>EXP($C$12+$C$8*_xlfn.NORM.S.INV(RAND()))</f>
        <v/>
      </c>
    </row>
    <row r="9402">
      <c r="F9402">
        <f>F9401+1</f>
        <v/>
      </c>
      <c r="G9402" s="92">
        <f>EXP($C$12+$C$8*_xlfn.NORM.S.INV(RAND()))</f>
        <v/>
      </c>
    </row>
    <row r="9403">
      <c r="F9403">
        <f>F9402+1</f>
        <v/>
      </c>
      <c r="G9403" s="92">
        <f>EXP($C$12+$C$8*_xlfn.NORM.S.INV(RAND()))</f>
        <v/>
      </c>
    </row>
    <row r="9404">
      <c r="F9404">
        <f>F9403+1</f>
        <v/>
      </c>
      <c r="G9404" s="92">
        <f>EXP($C$12+$C$8*_xlfn.NORM.S.INV(RAND()))</f>
        <v/>
      </c>
    </row>
    <row r="9405">
      <c r="F9405">
        <f>F9404+1</f>
        <v/>
      </c>
      <c r="G9405" s="92">
        <f>EXP($C$12+$C$8*_xlfn.NORM.S.INV(RAND()))</f>
        <v/>
      </c>
    </row>
    <row r="9406">
      <c r="F9406">
        <f>F9405+1</f>
        <v/>
      </c>
      <c r="G9406" s="92">
        <f>EXP($C$12+$C$8*_xlfn.NORM.S.INV(RAND()))</f>
        <v/>
      </c>
    </row>
    <row r="9407">
      <c r="F9407">
        <f>F9406+1</f>
        <v/>
      </c>
      <c r="G9407" s="92">
        <f>EXP($C$12+$C$8*_xlfn.NORM.S.INV(RAND()))</f>
        <v/>
      </c>
    </row>
    <row r="9408">
      <c r="F9408">
        <f>F9407+1</f>
        <v/>
      </c>
      <c r="G9408" s="92">
        <f>EXP($C$12+$C$8*_xlfn.NORM.S.INV(RAND()))</f>
        <v/>
      </c>
    </row>
    <row r="9409">
      <c r="F9409">
        <f>F9408+1</f>
        <v/>
      </c>
      <c r="G9409" s="92">
        <f>EXP($C$12+$C$8*_xlfn.NORM.S.INV(RAND()))</f>
        <v/>
      </c>
    </row>
    <row r="9410">
      <c r="F9410">
        <f>F9409+1</f>
        <v/>
      </c>
      <c r="G9410" s="92">
        <f>EXP($C$12+$C$8*_xlfn.NORM.S.INV(RAND()))</f>
        <v/>
      </c>
    </row>
    <row r="9411">
      <c r="F9411">
        <f>F9410+1</f>
        <v/>
      </c>
      <c r="G9411" s="92">
        <f>EXP($C$12+$C$8*_xlfn.NORM.S.INV(RAND()))</f>
        <v/>
      </c>
    </row>
    <row r="9412">
      <c r="F9412">
        <f>F9411+1</f>
        <v/>
      </c>
      <c r="G9412" s="92">
        <f>EXP($C$12+$C$8*_xlfn.NORM.S.INV(RAND()))</f>
        <v/>
      </c>
    </row>
    <row r="9413">
      <c r="F9413">
        <f>F9412+1</f>
        <v/>
      </c>
      <c r="G9413" s="92">
        <f>EXP($C$12+$C$8*_xlfn.NORM.S.INV(RAND()))</f>
        <v/>
      </c>
    </row>
    <row r="9414">
      <c r="F9414">
        <f>F9413+1</f>
        <v/>
      </c>
      <c r="G9414" s="92">
        <f>EXP($C$12+$C$8*_xlfn.NORM.S.INV(RAND()))</f>
        <v/>
      </c>
    </row>
    <row r="9415">
      <c r="F9415">
        <f>F9414+1</f>
        <v/>
      </c>
      <c r="G9415" s="92">
        <f>EXP($C$12+$C$8*_xlfn.NORM.S.INV(RAND()))</f>
        <v/>
      </c>
    </row>
    <row r="9416">
      <c r="F9416">
        <f>F9415+1</f>
        <v/>
      </c>
      <c r="G9416" s="92">
        <f>EXP($C$12+$C$8*_xlfn.NORM.S.INV(RAND()))</f>
        <v/>
      </c>
    </row>
    <row r="9417">
      <c r="F9417">
        <f>F9416+1</f>
        <v/>
      </c>
      <c r="G9417" s="92">
        <f>EXP($C$12+$C$8*_xlfn.NORM.S.INV(RAND()))</f>
        <v/>
      </c>
    </row>
    <row r="9418">
      <c r="F9418">
        <f>F9417+1</f>
        <v/>
      </c>
      <c r="G9418" s="92">
        <f>EXP($C$12+$C$8*_xlfn.NORM.S.INV(RAND()))</f>
        <v/>
      </c>
    </row>
    <row r="9419">
      <c r="F9419">
        <f>F9418+1</f>
        <v/>
      </c>
      <c r="G9419" s="92">
        <f>EXP($C$12+$C$8*_xlfn.NORM.S.INV(RAND()))</f>
        <v/>
      </c>
    </row>
    <row r="9420">
      <c r="F9420">
        <f>F9419+1</f>
        <v/>
      </c>
      <c r="G9420" s="92">
        <f>EXP($C$12+$C$8*_xlfn.NORM.S.INV(RAND()))</f>
        <v/>
      </c>
    </row>
    <row r="9421">
      <c r="F9421">
        <f>F9420+1</f>
        <v/>
      </c>
      <c r="G9421" s="92">
        <f>EXP($C$12+$C$8*_xlfn.NORM.S.INV(RAND()))</f>
        <v/>
      </c>
    </row>
    <row r="9422">
      <c r="F9422">
        <f>F9421+1</f>
        <v/>
      </c>
      <c r="G9422" s="92">
        <f>EXP($C$12+$C$8*_xlfn.NORM.S.INV(RAND()))</f>
        <v/>
      </c>
    </row>
    <row r="9423">
      <c r="F9423">
        <f>F9422+1</f>
        <v/>
      </c>
      <c r="G9423" s="92">
        <f>EXP($C$12+$C$8*_xlfn.NORM.S.INV(RAND()))</f>
        <v/>
      </c>
    </row>
    <row r="9424">
      <c r="F9424">
        <f>F9423+1</f>
        <v/>
      </c>
      <c r="G9424" s="92">
        <f>EXP($C$12+$C$8*_xlfn.NORM.S.INV(RAND()))</f>
        <v/>
      </c>
    </row>
    <row r="9425">
      <c r="F9425">
        <f>F9424+1</f>
        <v/>
      </c>
      <c r="G9425" s="92">
        <f>EXP($C$12+$C$8*_xlfn.NORM.S.INV(RAND()))</f>
        <v/>
      </c>
    </row>
    <row r="9426">
      <c r="F9426">
        <f>F9425+1</f>
        <v/>
      </c>
      <c r="G9426" s="92">
        <f>EXP($C$12+$C$8*_xlfn.NORM.S.INV(RAND()))</f>
        <v/>
      </c>
    </row>
    <row r="9427">
      <c r="F9427">
        <f>F9426+1</f>
        <v/>
      </c>
      <c r="G9427" s="92">
        <f>EXP($C$12+$C$8*_xlfn.NORM.S.INV(RAND()))</f>
        <v/>
      </c>
    </row>
    <row r="9428">
      <c r="F9428">
        <f>F9427+1</f>
        <v/>
      </c>
      <c r="G9428" s="92">
        <f>EXP($C$12+$C$8*_xlfn.NORM.S.INV(RAND()))</f>
        <v/>
      </c>
    </row>
    <row r="9429">
      <c r="F9429">
        <f>F9428+1</f>
        <v/>
      </c>
      <c r="G9429" s="92">
        <f>EXP($C$12+$C$8*_xlfn.NORM.S.INV(RAND()))</f>
        <v/>
      </c>
    </row>
    <row r="9430">
      <c r="F9430">
        <f>F9429+1</f>
        <v/>
      </c>
      <c r="G9430" s="92">
        <f>EXP($C$12+$C$8*_xlfn.NORM.S.INV(RAND()))</f>
        <v/>
      </c>
    </row>
    <row r="9431">
      <c r="F9431">
        <f>F9430+1</f>
        <v/>
      </c>
      <c r="G9431" s="92">
        <f>EXP($C$12+$C$8*_xlfn.NORM.S.INV(RAND()))</f>
        <v/>
      </c>
    </row>
    <row r="9432">
      <c r="F9432">
        <f>F9431+1</f>
        <v/>
      </c>
      <c r="G9432" s="92">
        <f>EXP($C$12+$C$8*_xlfn.NORM.S.INV(RAND()))</f>
        <v/>
      </c>
    </row>
    <row r="9433">
      <c r="F9433">
        <f>F9432+1</f>
        <v/>
      </c>
      <c r="G9433" s="92">
        <f>EXP($C$12+$C$8*_xlfn.NORM.S.INV(RAND()))</f>
        <v/>
      </c>
    </row>
    <row r="9434">
      <c r="F9434">
        <f>F9433+1</f>
        <v/>
      </c>
      <c r="G9434" s="92">
        <f>EXP($C$12+$C$8*_xlfn.NORM.S.INV(RAND()))</f>
        <v/>
      </c>
    </row>
    <row r="9435">
      <c r="F9435">
        <f>F9434+1</f>
        <v/>
      </c>
      <c r="G9435" s="92">
        <f>EXP($C$12+$C$8*_xlfn.NORM.S.INV(RAND()))</f>
        <v/>
      </c>
    </row>
    <row r="9436">
      <c r="F9436">
        <f>F9435+1</f>
        <v/>
      </c>
      <c r="G9436" s="92">
        <f>EXP($C$12+$C$8*_xlfn.NORM.S.INV(RAND()))</f>
        <v/>
      </c>
    </row>
    <row r="9437">
      <c r="F9437">
        <f>F9436+1</f>
        <v/>
      </c>
      <c r="G9437" s="92">
        <f>EXP($C$12+$C$8*_xlfn.NORM.S.INV(RAND()))</f>
        <v/>
      </c>
    </row>
    <row r="9438">
      <c r="F9438">
        <f>F9437+1</f>
        <v/>
      </c>
      <c r="G9438" s="92">
        <f>EXP($C$12+$C$8*_xlfn.NORM.S.INV(RAND()))</f>
        <v/>
      </c>
    </row>
    <row r="9439">
      <c r="F9439">
        <f>F9438+1</f>
        <v/>
      </c>
      <c r="G9439" s="92">
        <f>EXP($C$12+$C$8*_xlfn.NORM.S.INV(RAND()))</f>
        <v/>
      </c>
    </row>
    <row r="9440">
      <c r="F9440">
        <f>F9439+1</f>
        <v/>
      </c>
      <c r="G9440" s="92">
        <f>EXP($C$12+$C$8*_xlfn.NORM.S.INV(RAND()))</f>
        <v/>
      </c>
    </row>
    <row r="9441">
      <c r="F9441">
        <f>F9440+1</f>
        <v/>
      </c>
      <c r="G9441" s="92">
        <f>EXP($C$12+$C$8*_xlfn.NORM.S.INV(RAND()))</f>
        <v/>
      </c>
    </row>
    <row r="9442">
      <c r="F9442">
        <f>F9441+1</f>
        <v/>
      </c>
      <c r="G9442" s="92">
        <f>EXP($C$12+$C$8*_xlfn.NORM.S.INV(RAND()))</f>
        <v/>
      </c>
    </row>
    <row r="9443">
      <c r="F9443">
        <f>F9442+1</f>
        <v/>
      </c>
      <c r="G9443" s="92">
        <f>EXP($C$12+$C$8*_xlfn.NORM.S.INV(RAND()))</f>
        <v/>
      </c>
    </row>
    <row r="9444">
      <c r="F9444">
        <f>F9443+1</f>
        <v/>
      </c>
      <c r="G9444" s="92">
        <f>EXP($C$12+$C$8*_xlfn.NORM.S.INV(RAND()))</f>
        <v/>
      </c>
    </row>
    <row r="9445">
      <c r="F9445">
        <f>F9444+1</f>
        <v/>
      </c>
      <c r="G9445" s="92">
        <f>EXP($C$12+$C$8*_xlfn.NORM.S.INV(RAND()))</f>
        <v/>
      </c>
    </row>
    <row r="9446">
      <c r="F9446">
        <f>F9445+1</f>
        <v/>
      </c>
      <c r="G9446" s="92">
        <f>EXP($C$12+$C$8*_xlfn.NORM.S.INV(RAND()))</f>
        <v/>
      </c>
    </row>
    <row r="9447">
      <c r="F9447">
        <f>F9446+1</f>
        <v/>
      </c>
      <c r="G9447" s="92">
        <f>EXP($C$12+$C$8*_xlfn.NORM.S.INV(RAND()))</f>
        <v/>
      </c>
    </row>
    <row r="9448">
      <c r="F9448">
        <f>F9447+1</f>
        <v/>
      </c>
      <c r="G9448" s="92">
        <f>EXP($C$12+$C$8*_xlfn.NORM.S.INV(RAND()))</f>
        <v/>
      </c>
    </row>
    <row r="9449">
      <c r="F9449">
        <f>F9448+1</f>
        <v/>
      </c>
      <c r="G9449" s="92">
        <f>EXP($C$12+$C$8*_xlfn.NORM.S.INV(RAND()))</f>
        <v/>
      </c>
    </row>
    <row r="9450">
      <c r="F9450">
        <f>F9449+1</f>
        <v/>
      </c>
      <c r="G9450" s="92">
        <f>EXP($C$12+$C$8*_xlfn.NORM.S.INV(RAND()))</f>
        <v/>
      </c>
    </row>
    <row r="9451">
      <c r="F9451">
        <f>F9450+1</f>
        <v/>
      </c>
      <c r="G9451" s="92">
        <f>EXP($C$12+$C$8*_xlfn.NORM.S.INV(RAND()))</f>
        <v/>
      </c>
    </row>
    <row r="9452">
      <c r="F9452">
        <f>F9451+1</f>
        <v/>
      </c>
      <c r="G9452" s="92">
        <f>EXP($C$12+$C$8*_xlfn.NORM.S.INV(RAND()))</f>
        <v/>
      </c>
    </row>
    <row r="9453">
      <c r="F9453">
        <f>F9452+1</f>
        <v/>
      </c>
      <c r="G9453" s="92">
        <f>EXP($C$12+$C$8*_xlfn.NORM.S.INV(RAND()))</f>
        <v/>
      </c>
    </row>
    <row r="9454">
      <c r="F9454">
        <f>F9453+1</f>
        <v/>
      </c>
      <c r="G9454" s="92">
        <f>EXP($C$12+$C$8*_xlfn.NORM.S.INV(RAND()))</f>
        <v/>
      </c>
    </row>
    <row r="9455">
      <c r="F9455">
        <f>F9454+1</f>
        <v/>
      </c>
      <c r="G9455" s="92">
        <f>EXP($C$12+$C$8*_xlfn.NORM.S.INV(RAND()))</f>
        <v/>
      </c>
    </row>
    <row r="9456">
      <c r="F9456">
        <f>F9455+1</f>
        <v/>
      </c>
      <c r="G9456" s="92">
        <f>EXP($C$12+$C$8*_xlfn.NORM.S.INV(RAND()))</f>
        <v/>
      </c>
    </row>
    <row r="9457">
      <c r="F9457">
        <f>F9456+1</f>
        <v/>
      </c>
      <c r="G9457" s="92">
        <f>EXP($C$12+$C$8*_xlfn.NORM.S.INV(RAND()))</f>
        <v/>
      </c>
    </row>
    <row r="9458">
      <c r="F9458">
        <f>F9457+1</f>
        <v/>
      </c>
      <c r="G9458" s="92">
        <f>EXP($C$12+$C$8*_xlfn.NORM.S.INV(RAND()))</f>
        <v/>
      </c>
    </row>
    <row r="9459">
      <c r="F9459">
        <f>F9458+1</f>
        <v/>
      </c>
      <c r="G9459" s="92">
        <f>EXP($C$12+$C$8*_xlfn.NORM.S.INV(RAND()))</f>
        <v/>
      </c>
    </row>
    <row r="9460">
      <c r="F9460">
        <f>F9459+1</f>
        <v/>
      </c>
      <c r="G9460" s="92">
        <f>EXP($C$12+$C$8*_xlfn.NORM.S.INV(RAND()))</f>
        <v/>
      </c>
    </row>
    <row r="9461">
      <c r="F9461">
        <f>F9460+1</f>
        <v/>
      </c>
      <c r="G9461" s="92">
        <f>EXP($C$12+$C$8*_xlfn.NORM.S.INV(RAND()))</f>
        <v/>
      </c>
    </row>
    <row r="9462">
      <c r="F9462">
        <f>F9461+1</f>
        <v/>
      </c>
      <c r="G9462" s="92">
        <f>EXP($C$12+$C$8*_xlfn.NORM.S.INV(RAND()))</f>
        <v/>
      </c>
    </row>
    <row r="9463">
      <c r="F9463">
        <f>F9462+1</f>
        <v/>
      </c>
      <c r="G9463" s="92">
        <f>EXP($C$12+$C$8*_xlfn.NORM.S.INV(RAND()))</f>
        <v/>
      </c>
    </row>
    <row r="9464">
      <c r="F9464">
        <f>F9463+1</f>
        <v/>
      </c>
      <c r="G9464" s="92">
        <f>EXP($C$12+$C$8*_xlfn.NORM.S.INV(RAND()))</f>
        <v/>
      </c>
    </row>
    <row r="9465">
      <c r="F9465">
        <f>F9464+1</f>
        <v/>
      </c>
      <c r="G9465" s="92">
        <f>EXP($C$12+$C$8*_xlfn.NORM.S.INV(RAND()))</f>
        <v/>
      </c>
    </row>
    <row r="9466">
      <c r="F9466">
        <f>F9465+1</f>
        <v/>
      </c>
      <c r="G9466" s="92">
        <f>EXP($C$12+$C$8*_xlfn.NORM.S.INV(RAND()))</f>
        <v/>
      </c>
    </row>
    <row r="9467">
      <c r="F9467">
        <f>F9466+1</f>
        <v/>
      </c>
      <c r="G9467" s="92">
        <f>EXP($C$12+$C$8*_xlfn.NORM.S.INV(RAND()))</f>
        <v/>
      </c>
    </row>
    <row r="9468">
      <c r="F9468">
        <f>F9467+1</f>
        <v/>
      </c>
      <c r="G9468" s="92">
        <f>EXP($C$12+$C$8*_xlfn.NORM.S.INV(RAND()))</f>
        <v/>
      </c>
    </row>
    <row r="9469">
      <c r="F9469">
        <f>F9468+1</f>
        <v/>
      </c>
      <c r="G9469" s="92">
        <f>EXP($C$12+$C$8*_xlfn.NORM.S.INV(RAND()))</f>
        <v/>
      </c>
    </row>
    <row r="9470">
      <c r="F9470">
        <f>F9469+1</f>
        <v/>
      </c>
      <c r="G9470" s="92">
        <f>EXP($C$12+$C$8*_xlfn.NORM.S.INV(RAND()))</f>
        <v/>
      </c>
    </row>
    <row r="9471">
      <c r="F9471">
        <f>F9470+1</f>
        <v/>
      </c>
      <c r="G9471" s="92">
        <f>EXP($C$12+$C$8*_xlfn.NORM.S.INV(RAND()))</f>
        <v/>
      </c>
    </row>
    <row r="9472">
      <c r="F9472">
        <f>F9471+1</f>
        <v/>
      </c>
      <c r="G9472" s="92">
        <f>EXP($C$12+$C$8*_xlfn.NORM.S.INV(RAND()))</f>
        <v/>
      </c>
    </row>
    <row r="9473">
      <c r="F9473">
        <f>F9472+1</f>
        <v/>
      </c>
      <c r="G9473" s="92">
        <f>EXP($C$12+$C$8*_xlfn.NORM.S.INV(RAND()))</f>
        <v/>
      </c>
    </row>
    <row r="9474">
      <c r="F9474">
        <f>F9473+1</f>
        <v/>
      </c>
      <c r="G9474" s="92">
        <f>EXP($C$12+$C$8*_xlfn.NORM.S.INV(RAND()))</f>
        <v/>
      </c>
    </row>
    <row r="9475">
      <c r="F9475">
        <f>F9474+1</f>
        <v/>
      </c>
      <c r="G9475" s="92">
        <f>EXP($C$12+$C$8*_xlfn.NORM.S.INV(RAND()))</f>
        <v/>
      </c>
    </row>
    <row r="9476">
      <c r="F9476">
        <f>F9475+1</f>
        <v/>
      </c>
      <c r="G9476" s="92">
        <f>EXP($C$12+$C$8*_xlfn.NORM.S.INV(RAND()))</f>
        <v/>
      </c>
    </row>
    <row r="9477">
      <c r="F9477">
        <f>F9476+1</f>
        <v/>
      </c>
      <c r="G9477" s="92">
        <f>EXP($C$12+$C$8*_xlfn.NORM.S.INV(RAND()))</f>
        <v/>
      </c>
    </row>
    <row r="9478">
      <c r="F9478">
        <f>F9477+1</f>
        <v/>
      </c>
      <c r="G9478" s="92">
        <f>EXP($C$12+$C$8*_xlfn.NORM.S.INV(RAND()))</f>
        <v/>
      </c>
    </row>
    <row r="9479">
      <c r="F9479">
        <f>F9478+1</f>
        <v/>
      </c>
      <c r="G9479" s="92">
        <f>EXP($C$12+$C$8*_xlfn.NORM.S.INV(RAND()))</f>
        <v/>
      </c>
    </row>
    <row r="9480">
      <c r="F9480">
        <f>F9479+1</f>
        <v/>
      </c>
      <c r="G9480" s="92">
        <f>EXP($C$12+$C$8*_xlfn.NORM.S.INV(RAND()))</f>
        <v/>
      </c>
    </row>
    <row r="9481">
      <c r="F9481">
        <f>F9480+1</f>
        <v/>
      </c>
      <c r="G9481" s="92">
        <f>EXP($C$12+$C$8*_xlfn.NORM.S.INV(RAND()))</f>
        <v/>
      </c>
    </row>
    <row r="9482">
      <c r="F9482">
        <f>F9481+1</f>
        <v/>
      </c>
      <c r="G9482" s="92">
        <f>EXP($C$12+$C$8*_xlfn.NORM.S.INV(RAND()))</f>
        <v/>
      </c>
    </row>
    <row r="9483">
      <c r="F9483">
        <f>F9482+1</f>
        <v/>
      </c>
      <c r="G9483" s="92">
        <f>EXP($C$12+$C$8*_xlfn.NORM.S.INV(RAND()))</f>
        <v/>
      </c>
    </row>
    <row r="9484">
      <c r="F9484">
        <f>F9483+1</f>
        <v/>
      </c>
      <c r="G9484" s="92">
        <f>EXP($C$12+$C$8*_xlfn.NORM.S.INV(RAND()))</f>
        <v/>
      </c>
    </row>
    <row r="9485">
      <c r="F9485">
        <f>F9484+1</f>
        <v/>
      </c>
      <c r="G9485" s="92">
        <f>EXP($C$12+$C$8*_xlfn.NORM.S.INV(RAND()))</f>
        <v/>
      </c>
    </row>
    <row r="9486">
      <c r="F9486">
        <f>F9485+1</f>
        <v/>
      </c>
      <c r="G9486" s="92">
        <f>EXP($C$12+$C$8*_xlfn.NORM.S.INV(RAND()))</f>
        <v/>
      </c>
    </row>
    <row r="9487">
      <c r="F9487">
        <f>F9486+1</f>
        <v/>
      </c>
      <c r="G9487" s="92">
        <f>EXP($C$12+$C$8*_xlfn.NORM.S.INV(RAND()))</f>
        <v/>
      </c>
    </row>
    <row r="9488">
      <c r="F9488">
        <f>F9487+1</f>
        <v/>
      </c>
      <c r="G9488" s="92">
        <f>EXP($C$12+$C$8*_xlfn.NORM.S.INV(RAND()))</f>
        <v/>
      </c>
    </row>
    <row r="9489">
      <c r="F9489">
        <f>F9488+1</f>
        <v/>
      </c>
      <c r="G9489" s="92">
        <f>EXP($C$12+$C$8*_xlfn.NORM.S.INV(RAND()))</f>
        <v/>
      </c>
    </row>
    <row r="9490">
      <c r="F9490">
        <f>F9489+1</f>
        <v/>
      </c>
      <c r="G9490" s="92">
        <f>EXP($C$12+$C$8*_xlfn.NORM.S.INV(RAND()))</f>
        <v/>
      </c>
    </row>
    <row r="9491">
      <c r="F9491">
        <f>F9490+1</f>
        <v/>
      </c>
      <c r="G9491" s="92">
        <f>EXP($C$12+$C$8*_xlfn.NORM.S.INV(RAND()))</f>
        <v/>
      </c>
    </row>
    <row r="9492">
      <c r="F9492">
        <f>F9491+1</f>
        <v/>
      </c>
      <c r="G9492" s="92">
        <f>EXP($C$12+$C$8*_xlfn.NORM.S.INV(RAND()))</f>
        <v/>
      </c>
    </row>
    <row r="9493">
      <c r="F9493">
        <f>F9492+1</f>
        <v/>
      </c>
      <c r="G9493" s="92">
        <f>EXP($C$12+$C$8*_xlfn.NORM.S.INV(RAND()))</f>
        <v/>
      </c>
    </row>
    <row r="9494">
      <c r="F9494">
        <f>F9493+1</f>
        <v/>
      </c>
      <c r="G9494" s="92">
        <f>EXP($C$12+$C$8*_xlfn.NORM.S.INV(RAND()))</f>
        <v/>
      </c>
    </row>
    <row r="9495">
      <c r="F9495">
        <f>F9494+1</f>
        <v/>
      </c>
      <c r="G9495" s="92">
        <f>EXP($C$12+$C$8*_xlfn.NORM.S.INV(RAND()))</f>
        <v/>
      </c>
    </row>
    <row r="9496">
      <c r="F9496">
        <f>F9495+1</f>
        <v/>
      </c>
      <c r="G9496" s="92">
        <f>EXP($C$12+$C$8*_xlfn.NORM.S.INV(RAND()))</f>
        <v/>
      </c>
    </row>
    <row r="9497">
      <c r="F9497">
        <f>F9496+1</f>
        <v/>
      </c>
      <c r="G9497" s="92">
        <f>EXP($C$12+$C$8*_xlfn.NORM.S.INV(RAND()))</f>
        <v/>
      </c>
    </row>
    <row r="9498">
      <c r="F9498">
        <f>F9497+1</f>
        <v/>
      </c>
      <c r="G9498" s="92">
        <f>EXP($C$12+$C$8*_xlfn.NORM.S.INV(RAND()))</f>
        <v/>
      </c>
    </row>
    <row r="9499">
      <c r="F9499">
        <f>F9498+1</f>
        <v/>
      </c>
      <c r="G9499" s="92">
        <f>EXP($C$12+$C$8*_xlfn.NORM.S.INV(RAND()))</f>
        <v/>
      </c>
    </row>
    <row r="9500">
      <c r="F9500">
        <f>F9499+1</f>
        <v/>
      </c>
      <c r="G9500" s="92">
        <f>EXP($C$12+$C$8*_xlfn.NORM.S.INV(RAND()))</f>
        <v/>
      </c>
    </row>
    <row r="9501">
      <c r="F9501">
        <f>F9500+1</f>
        <v/>
      </c>
      <c r="G9501" s="92">
        <f>EXP($C$12+$C$8*_xlfn.NORM.S.INV(RAND()))</f>
        <v/>
      </c>
    </row>
    <row r="9502">
      <c r="F9502">
        <f>F9501+1</f>
        <v/>
      </c>
      <c r="G9502" s="92">
        <f>EXP($C$12+$C$8*_xlfn.NORM.S.INV(RAND()))</f>
        <v/>
      </c>
    </row>
    <row r="9503">
      <c r="F9503">
        <f>F9502+1</f>
        <v/>
      </c>
      <c r="G9503" s="92">
        <f>EXP($C$12+$C$8*_xlfn.NORM.S.INV(RAND()))</f>
        <v/>
      </c>
    </row>
    <row r="9504">
      <c r="F9504">
        <f>F9503+1</f>
        <v/>
      </c>
      <c r="G9504" s="92">
        <f>EXP($C$12+$C$8*_xlfn.NORM.S.INV(RAND()))</f>
        <v/>
      </c>
    </row>
    <row r="9505">
      <c r="F9505">
        <f>F9504+1</f>
        <v/>
      </c>
      <c r="G9505" s="92">
        <f>EXP($C$12+$C$8*_xlfn.NORM.S.INV(RAND()))</f>
        <v/>
      </c>
    </row>
    <row r="9506">
      <c r="F9506">
        <f>F9505+1</f>
        <v/>
      </c>
      <c r="G9506" s="92">
        <f>EXP($C$12+$C$8*_xlfn.NORM.S.INV(RAND()))</f>
        <v/>
      </c>
    </row>
    <row r="9507">
      <c r="F9507">
        <f>F9506+1</f>
        <v/>
      </c>
      <c r="G9507" s="92">
        <f>EXP($C$12+$C$8*_xlfn.NORM.S.INV(RAND()))</f>
        <v/>
      </c>
    </row>
    <row r="9508">
      <c r="F9508">
        <f>F9507+1</f>
        <v/>
      </c>
      <c r="G9508" s="92">
        <f>EXP($C$12+$C$8*_xlfn.NORM.S.INV(RAND()))</f>
        <v/>
      </c>
    </row>
    <row r="9509">
      <c r="F9509">
        <f>F9508+1</f>
        <v/>
      </c>
      <c r="G9509" s="92">
        <f>EXP($C$12+$C$8*_xlfn.NORM.S.INV(RAND()))</f>
        <v/>
      </c>
    </row>
    <row r="9510">
      <c r="F9510">
        <f>F9509+1</f>
        <v/>
      </c>
      <c r="G9510" s="92">
        <f>EXP($C$12+$C$8*_xlfn.NORM.S.INV(RAND()))</f>
        <v/>
      </c>
    </row>
    <row r="9511">
      <c r="F9511">
        <f>F9510+1</f>
        <v/>
      </c>
      <c r="G9511" s="92">
        <f>EXP($C$12+$C$8*_xlfn.NORM.S.INV(RAND()))</f>
        <v/>
      </c>
    </row>
    <row r="9512">
      <c r="F9512">
        <f>F9511+1</f>
        <v/>
      </c>
      <c r="G9512" s="92">
        <f>EXP($C$12+$C$8*_xlfn.NORM.S.INV(RAND()))</f>
        <v/>
      </c>
    </row>
    <row r="9513">
      <c r="F9513">
        <f>F9512+1</f>
        <v/>
      </c>
      <c r="G9513" s="92">
        <f>EXP($C$12+$C$8*_xlfn.NORM.S.INV(RAND()))</f>
        <v/>
      </c>
    </row>
    <row r="9514">
      <c r="F9514">
        <f>F9513+1</f>
        <v/>
      </c>
      <c r="G9514" s="92">
        <f>EXP($C$12+$C$8*_xlfn.NORM.S.INV(RAND()))</f>
        <v/>
      </c>
    </row>
    <row r="9515">
      <c r="F9515">
        <f>F9514+1</f>
        <v/>
      </c>
      <c r="G9515" s="92">
        <f>EXP($C$12+$C$8*_xlfn.NORM.S.INV(RAND()))</f>
        <v/>
      </c>
    </row>
    <row r="9516">
      <c r="F9516">
        <f>F9515+1</f>
        <v/>
      </c>
      <c r="G9516" s="92">
        <f>EXP($C$12+$C$8*_xlfn.NORM.S.INV(RAND()))</f>
        <v/>
      </c>
    </row>
    <row r="9517">
      <c r="F9517">
        <f>F9516+1</f>
        <v/>
      </c>
      <c r="G9517" s="92">
        <f>EXP($C$12+$C$8*_xlfn.NORM.S.INV(RAND()))</f>
        <v/>
      </c>
    </row>
    <row r="9518">
      <c r="F9518">
        <f>F9517+1</f>
        <v/>
      </c>
      <c r="G9518" s="92">
        <f>EXP($C$12+$C$8*_xlfn.NORM.S.INV(RAND()))</f>
        <v/>
      </c>
    </row>
    <row r="9519">
      <c r="F9519">
        <f>F9518+1</f>
        <v/>
      </c>
      <c r="G9519" s="92">
        <f>EXP($C$12+$C$8*_xlfn.NORM.S.INV(RAND()))</f>
        <v/>
      </c>
    </row>
    <row r="9520">
      <c r="F9520">
        <f>F9519+1</f>
        <v/>
      </c>
      <c r="G9520" s="92">
        <f>EXP($C$12+$C$8*_xlfn.NORM.S.INV(RAND()))</f>
        <v/>
      </c>
    </row>
    <row r="9521">
      <c r="F9521">
        <f>F9520+1</f>
        <v/>
      </c>
      <c r="G9521" s="92">
        <f>EXP($C$12+$C$8*_xlfn.NORM.S.INV(RAND()))</f>
        <v/>
      </c>
    </row>
    <row r="9522">
      <c r="F9522">
        <f>F9521+1</f>
        <v/>
      </c>
      <c r="G9522" s="92">
        <f>EXP($C$12+$C$8*_xlfn.NORM.S.INV(RAND()))</f>
        <v/>
      </c>
    </row>
    <row r="9523">
      <c r="F9523">
        <f>F9522+1</f>
        <v/>
      </c>
      <c r="G9523" s="92">
        <f>EXP($C$12+$C$8*_xlfn.NORM.S.INV(RAND()))</f>
        <v/>
      </c>
    </row>
    <row r="9524">
      <c r="F9524">
        <f>F9523+1</f>
        <v/>
      </c>
      <c r="G9524" s="92">
        <f>EXP($C$12+$C$8*_xlfn.NORM.S.INV(RAND()))</f>
        <v/>
      </c>
    </row>
    <row r="9525">
      <c r="F9525">
        <f>F9524+1</f>
        <v/>
      </c>
      <c r="G9525" s="92">
        <f>EXP($C$12+$C$8*_xlfn.NORM.S.INV(RAND()))</f>
        <v/>
      </c>
    </row>
    <row r="9526">
      <c r="F9526">
        <f>F9525+1</f>
        <v/>
      </c>
      <c r="G9526" s="92">
        <f>EXP($C$12+$C$8*_xlfn.NORM.S.INV(RAND()))</f>
        <v/>
      </c>
    </row>
    <row r="9527">
      <c r="F9527">
        <f>F9526+1</f>
        <v/>
      </c>
      <c r="G9527" s="92">
        <f>EXP($C$12+$C$8*_xlfn.NORM.S.INV(RAND()))</f>
        <v/>
      </c>
    </row>
    <row r="9528">
      <c r="F9528">
        <f>F9527+1</f>
        <v/>
      </c>
      <c r="G9528" s="92">
        <f>EXP($C$12+$C$8*_xlfn.NORM.S.INV(RAND()))</f>
        <v/>
      </c>
    </row>
    <row r="9529">
      <c r="F9529">
        <f>F9528+1</f>
        <v/>
      </c>
      <c r="G9529" s="92">
        <f>EXP($C$12+$C$8*_xlfn.NORM.S.INV(RAND()))</f>
        <v/>
      </c>
    </row>
    <row r="9530">
      <c r="F9530">
        <f>F9529+1</f>
        <v/>
      </c>
      <c r="G9530" s="92">
        <f>EXP($C$12+$C$8*_xlfn.NORM.S.INV(RAND()))</f>
        <v/>
      </c>
    </row>
    <row r="9531">
      <c r="F9531">
        <f>F9530+1</f>
        <v/>
      </c>
      <c r="G9531" s="92">
        <f>EXP($C$12+$C$8*_xlfn.NORM.S.INV(RAND()))</f>
        <v/>
      </c>
    </row>
    <row r="9532">
      <c r="F9532">
        <f>F9531+1</f>
        <v/>
      </c>
      <c r="G9532" s="92">
        <f>EXP($C$12+$C$8*_xlfn.NORM.S.INV(RAND()))</f>
        <v/>
      </c>
    </row>
    <row r="9533">
      <c r="F9533">
        <f>F9532+1</f>
        <v/>
      </c>
      <c r="G9533" s="92">
        <f>EXP($C$12+$C$8*_xlfn.NORM.S.INV(RAND()))</f>
        <v/>
      </c>
    </row>
    <row r="9534">
      <c r="F9534">
        <f>F9533+1</f>
        <v/>
      </c>
      <c r="G9534" s="92">
        <f>EXP($C$12+$C$8*_xlfn.NORM.S.INV(RAND()))</f>
        <v/>
      </c>
    </row>
    <row r="9535">
      <c r="F9535">
        <f>F9534+1</f>
        <v/>
      </c>
      <c r="G9535" s="92">
        <f>EXP($C$12+$C$8*_xlfn.NORM.S.INV(RAND()))</f>
        <v/>
      </c>
    </row>
    <row r="9536">
      <c r="F9536">
        <f>F9535+1</f>
        <v/>
      </c>
      <c r="G9536" s="92">
        <f>EXP($C$12+$C$8*_xlfn.NORM.S.INV(RAND()))</f>
        <v/>
      </c>
    </row>
    <row r="9537">
      <c r="F9537">
        <f>F9536+1</f>
        <v/>
      </c>
      <c r="G9537" s="92">
        <f>EXP($C$12+$C$8*_xlfn.NORM.S.INV(RAND()))</f>
        <v/>
      </c>
    </row>
    <row r="9538">
      <c r="F9538">
        <f>F9537+1</f>
        <v/>
      </c>
      <c r="G9538" s="92">
        <f>EXP($C$12+$C$8*_xlfn.NORM.S.INV(RAND()))</f>
        <v/>
      </c>
    </row>
    <row r="9539">
      <c r="F9539">
        <f>F9538+1</f>
        <v/>
      </c>
      <c r="G9539" s="92">
        <f>EXP($C$12+$C$8*_xlfn.NORM.S.INV(RAND()))</f>
        <v/>
      </c>
    </row>
    <row r="9540">
      <c r="F9540">
        <f>F9539+1</f>
        <v/>
      </c>
      <c r="G9540" s="92">
        <f>EXP($C$12+$C$8*_xlfn.NORM.S.INV(RAND()))</f>
        <v/>
      </c>
    </row>
    <row r="9541">
      <c r="F9541">
        <f>F9540+1</f>
        <v/>
      </c>
      <c r="G9541" s="92">
        <f>EXP($C$12+$C$8*_xlfn.NORM.S.INV(RAND()))</f>
        <v/>
      </c>
    </row>
    <row r="9542">
      <c r="F9542">
        <f>F9541+1</f>
        <v/>
      </c>
      <c r="G9542" s="92">
        <f>EXP($C$12+$C$8*_xlfn.NORM.S.INV(RAND()))</f>
        <v/>
      </c>
    </row>
    <row r="9543">
      <c r="F9543">
        <f>F9542+1</f>
        <v/>
      </c>
      <c r="G9543" s="92">
        <f>EXP($C$12+$C$8*_xlfn.NORM.S.INV(RAND()))</f>
        <v/>
      </c>
    </row>
    <row r="9544">
      <c r="F9544">
        <f>F9543+1</f>
        <v/>
      </c>
      <c r="G9544" s="92">
        <f>EXP($C$12+$C$8*_xlfn.NORM.S.INV(RAND()))</f>
        <v/>
      </c>
    </row>
    <row r="9545">
      <c r="F9545">
        <f>F9544+1</f>
        <v/>
      </c>
      <c r="G9545" s="92">
        <f>EXP($C$12+$C$8*_xlfn.NORM.S.INV(RAND()))</f>
        <v/>
      </c>
    </row>
    <row r="9546">
      <c r="F9546">
        <f>F9545+1</f>
        <v/>
      </c>
      <c r="G9546" s="92">
        <f>EXP($C$12+$C$8*_xlfn.NORM.S.INV(RAND()))</f>
        <v/>
      </c>
    </row>
    <row r="9547">
      <c r="F9547">
        <f>F9546+1</f>
        <v/>
      </c>
      <c r="G9547" s="92">
        <f>EXP($C$12+$C$8*_xlfn.NORM.S.INV(RAND()))</f>
        <v/>
      </c>
    </row>
    <row r="9548">
      <c r="F9548">
        <f>F9547+1</f>
        <v/>
      </c>
      <c r="G9548" s="92">
        <f>EXP($C$12+$C$8*_xlfn.NORM.S.INV(RAND()))</f>
        <v/>
      </c>
    </row>
    <row r="9549">
      <c r="F9549">
        <f>F9548+1</f>
        <v/>
      </c>
      <c r="G9549" s="92">
        <f>EXP($C$12+$C$8*_xlfn.NORM.S.INV(RAND()))</f>
        <v/>
      </c>
    </row>
    <row r="9550">
      <c r="F9550">
        <f>F9549+1</f>
        <v/>
      </c>
      <c r="G9550" s="92">
        <f>EXP($C$12+$C$8*_xlfn.NORM.S.INV(RAND()))</f>
        <v/>
      </c>
    </row>
    <row r="9551">
      <c r="F9551">
        <f>F9550+1</f>
        <v/>
      </c>
      <c r="G9551" s="92">
        <f>EXP($C$12+$C$8*_xlfn.NORM.S.INV(RAND()))</f>
        <v/>
      </c>
    </row>
    <row r="9552">
      <c r="F9552">
        <f>F9551+1</f>
        <v/>
      </c>
      <c r="G9552" s="92">
        <f>EXP($C$12+$C$8*_xlfn.NORM.S.INV(RAND()))</f>
        <v/>
      </c>
    </row>
    <row r="9553">
      <c r="F9553">
        <f>F9552+1</f>
        <v/>
      </c>
      <c r="G9553" s="92">
        <f>EXP($C$12+$C$8*_xlfn.NORM.S.INV(RAND()))</f>
        <v/>
      </c>
    </row>
    <row r="9554">
      <c r="F9554">
        <f>F9553+1</f>
        <v/>
      </c>
      <c r="G9554" s="92">
        <f>EXP($C$12+$C$8*_xlfn.NORM.S.INV(RAND()))</f>
        <v/>
      </c>
    </row>
    <row r="9555">
      <c r="F9555">
        <f>F9554+1</f>
        <v/>
      </c>
      <c r="G9555" s="92">
        <f>EXP($C$12+$C$8*_xlfn.NORM.S.INV(RAND()))</f>
        <v/>
      </c>
    </row>
    <row r="9556">
      <c r="F9556">
        <f>F9555+1</f>
        <v/>
      </c>
      <c r="G9556" s="92">
        <f>EXP($C$12+$C$8*_xlfn.NORM.S.INV(RAND()))</f>
        <v/>
      </c>
    </row>
    <row r="9557">
      <c r="F9557">
        <f>F9556+1</f>
        <v/>
      </c>
      <c r="G9557" s="92">
        <f>EXP($C$12+$C$8*_xlfn.NORM.S.INV(RAND()))</f>
        <v/>
      </c>
    </row>
    <row r="9558">
      <c r="F9558">
        <f>F9557+1</f>
        <v/>
      </c>
      <c r="G9558" s="92">
        <f>EXP($C$12+$C$8*_xlfn.NORM.S.INV(RAND()))</f>
        <v/>
      </c>
    </row>
    <row r="9559">
      <c r="F9559">
        <f>F9558+1</f>
        <v/>
      </c>
      <c r="G9559" s="92">
        <f>EXP($C$12+$C$8*_xlfn.NORM.S.INV(RAND()))</f>
        <v/>
      </c>
    </row>
    <row r="9560">
      <c r="F9560">
        <f>F9559+1</f>
        <v/>
      </c>
      <c r="G9560" s="92">
        <f>EXP($C$12+$C$8*_xlfn.NORM.S.INV(RAND()))</f>
        <v/>
      </c>
    </row>
    <row r="9561">
      <c r="F9561">
        <f>F9560+1</f>
        <v/>
      </c>
      <c r="G9561" s="92">
        <f>EXP($C$12+$C$8*_xlfn.NORM.S.INV(RAND()))</f>
        <v/>
      </c>
    </row>
    <row r="9562">
      <c r="F9562">
        <f>F9561+1</f>
        <v/>
      </c>
      <c r="G9562" s="92">
        <f>EXP($C$12+$C$8*_xlfn.NORM.S.INV(RAND()))</f>
        <v/>
      </c>
    </row>
    <row r="9563">
      <c r="F9563">
        <f>F9562+1</f>
        <v/>
      </c>
      <c r="G9563" s="92">
        <f>EXP($C$12+$C$8*_xlfn.NORM.S.INV(RAND()))</f>
        <v/>
      </c>
    </row>
    <row r="9564">
      <c r="F9564">
        <f>F9563+1</f>
        <v/>
      </c>
      <c r="G9564" s="92">
        <f>EXP($C$12+$C$8*_xlfn.NORM.S.INV(RAND()))</f>
        <v/>
      </c>
    </row>
    <row r="9565">
      <c r="F9565">
        <f>F9564+1</f>
        <v/>
      </c>
      <c r="G9565" s="92">
        <f>EXP($C$12+$C$8*_xlfn.NORM.S.INV(RAND()))</f>
        <v/>
      </c>
    </row>
    <row r="9566">
      <c r="F9566">
        <f>F9565+1</f>
        <v/>
      </c>
      <c r="G9566" s="92">
        <f>EXP($C$12+$C$8*_xlfn.NORM.S.INV(RAND()))</f>
        <v/>
      </c>
    </row>
    <row r="9567">
      <c r="F9567">
        <f>F9566+1</f>
        <v/>
      </c>
      <c r="G9567" s="92">
        <f>EXP($C$12+$C$8*_xlfn.NORM.S.INV(RAND()))</f>
        <v/>
      </c>
    </row>
    <row r="9568">
      <c r="F9568">
        <f>F9567+1</f>
        <v/>
      </c>
      <c r="G9568" s="92">
        <f>EXP($C$12+$C$8*_xlfn.NORM.S.INV(RAND()))</f>
        <v/>
      </c>
    </row>
    <row r="9569">
      <c r="F9569">
        <f>F9568+1</f>
        <v/>
      </c>
      <c r="G9569" s="92">
        <f>EXP($C$12+$C$8*_xlfn.NORM.S.INV(RAND()))</f>
        <v/>
      </c>
    </row>
    <row r="9570">
      <c r="F9570">
        <f>F9569+1</f>
        <v/>
      </c>
      <c r="G9570" s="92">
        <f>EXP($C$12+$C$8*_xlfn.NORM.S.INV(RAND()))</f>
        <v/>
      </c>
    </row>
    <row r="9571">
      <c r="F9571">
        <f>F9570+1</f>
        <v/>
      </c>
      <c r="G9571" s="92">
        <f>EXP($C$12+$C$8*_xlfn.NORM.S.INV(RAND()))</f>
        <v/>
      </c>
    </row>
    <row r="9572">
      <c r="F9572">
        <f>F9571+1</f>
        <v/>
      </c>
      <c r="G9572" s="92">
        <f>EXP($C$12+$C$8*_xlfn.NORM.S.INV(RAND()))</f>
        <v/>
      </c>
    </row>
    <row r="9573">
      <c r="F9573">
        <f>F9572+1</f>
        <v/>
      </c>
      <c r="G9573" s="92">
        <f>EXP($C$12+$C$8*_xlfn.NORM.S.INV(RAND()))</f>
        <v/>
      </c>
    </row>
    <row r="9574">
      <c r="F9574">
        <f>F9573+1</f>
        <v/>
      </c>
      <c r="G9574" s="92">
        <f>EXP($C$12+$C$8*_xlfn.NORM.S.INV(RAND()))</f>
        <v/>
      </c>
    </row>
    <row r="9575">
      <c r="F9575">
        <f>F9574+1</f>
        <v/>
      </c>
      <c r="G9575" s="92">
        <f>EXP($C$12+$C$8*_xlfn.NORM.S.INV(RAND()))</f>
        <v/>
      </c>
    </row>
    <row r="9576">
      <c r="F9576">
        <f>F9575+1</f>
        <v/>
      </c>
      <c r="G9576" s="92">
        <f>EXP($C$12+$C$8*_xlfn.NORM.S.INV(RAND()))</f>
        <v/>
      </c>
    </row>
    <row r="9577">
      <c r="F9577">
        <f>F9576+1</f>
        <v/>
      </c>
      <c r="G9577" s="92">
        <f>EXP($C$12+$C$8*_xlfn.NORM.S.INV(RAND()))</f>
        <v/>
      </c>
    </row>
    <row r="9578">
      <c r="F9578">
        <f>F9577+1</f>
        <v/>
      </c>
      <c r="G9578" s="92">
        <f>EXP($C$12+$C$8*_xlfn.NORM.S.INV(RAND()))</f>
        <v/>
      </c>
    </row>
    <row r="9579">
      <c r="F9579">
        <f>F9578+1</f>
        <v/>
      </c>
      <c r="G9579" s="92">
        <f>EXP($C$12+$C$8*_xlfn.NORM.S.INV(RAND()))</f>
        <v/>
      </c>
    </row>
    <row r="9580">
      <c r="F9580">
        <f>F9579+1</f>
        <v/>
      </c>
      <c r="G9580" s="92">
        <f>EXP($C$12+$C$8*_xlfn.NORM.S.INV(RAND()))</f>
        <v/>
      </c>
    </row>
    <row r="9581">
      <c r="F9581">
        <f>F9580+1</f>
        <v/>
      </c>
      <c r="G9581" s="92">
        <f>EXP($C$12+$C$8*_xlfn.NORM.S.INV(RAND()))</f>
        <v/>
      </c>
    </row>
    <row r="9582">
      <c r="F9582">
        <f>F9581+1</f>
        <v/>
      </c>
      <c r="G9582" s="92">
        <f>EXP($C$12+$C$8*_xlfn.NORM.S.INV(RAND()))</f>
        <v/>
      </c>
    </row>
    <row r="9583">
      <c r="F9583">
        <f>F9582+1</f>
        <v/>
      </c>
      <c r="G9583" s="92">
        <f>EXP($C$12+$C$8*_xlfn.NORM.S.INV(RAND()))</f>
        <v/>
      </c>
    </row>
    <row r="9584">
      <c r="F9584">
        <f>F9583+1</f>
        <v/>
      </c>
      <c r="G9584" s="92">
        <f>EXP($C$12+$C$8*_xlfn.NORM.S.INV(RAND()))</f>
        <v/>
      </c>
    </row>
    <row r="9585">
      <c r="F9585">
        <f>F9584+1</f>
        <v/>
      </c>
      <c r="G9585" s="92">
        <f>EXP($C$12+$C$8*_xlfn.NORM.S.INV(RAND()))</f>
        <v/>
      </c>
    </row>
    <row r="9586">
      <c r="F9586">
        <f>F9585+1</f>
        <v/>
      </c>
      <c r="G9586" s="92">
        <f>EXP($C$12+$C$8*_xlfn.NORM.S.INV(RAND()))</f>
        <v/>
      </c>
    </row>
    <row r="9587">
      <c r="F9587">
        <f>F9586+1</f>
        <v/>
      </c>
      <c r="G9587" s="92">
        <f>EXP($C$12+$C$8*_xlfn.NORM.S.INV(RAND()))</f>
        <v/>
      </c>
    </row>
    <row r="9588">
      <c r="F9588">
        <f>F9587+1</f>
        <v/>
      </c>
      <c r="G9588" s="92">
        <f>EXP($C$12+$C$8*_xlfn.NORM.S.INV(RAND()))</f>
        <v/>
      </c>
    </row>
    <row r="9589">
      <c r="F9589">
        <f>F9588+1</f>
        <v/>
      </c>
      <c r="G9589" s="92">
        <f>EXP($C$12+$C$8*_xlfn.NORM.S.INV(RAND()))</f>
        <v/>
      </c>
    </row>
    <row r="9590">
      <c r="F9590">
        <f>F9589+1</f>
        <v/>
      </c>
      <c r="G9590" s="92">
        <f>EXP($C$12+$C$8*_xlfn.NORM.S.INV(RAND()))</f>
        <v/>
      </c>
    </row>
    <row r="9591">
      <c r="F9591">
        <f>F9590+1</f>
        <v/>
      </c>
      <c r="G9591" s="92">
        <f>EXP($C$12+$C$8*_xlfn.NORM.S.INV(RAND()))</f>
        <v/>
      </c>
    </row>
    <row r="9592">
      <c r="F9592">
        <f>F9591+1</f>
        <v/>
      </c>
      <c r="G9592" s="92">
        <f>EXP($C$12+$C$8*_xlfn.NORM.S.INV(RAND()))</f>
        <v/>
      </c>
    </row>
    <row r="9593">
      <c r="F9593">
        <f>F9592+1</f>
        <v/>
      </c>
      <c r="G9593" s="92">
        <f>EXP($C$12+$C$8*_xlfn.NORM.S.INV(RAND()))</f>
        <v/>
      </c>
    </row>
    <row r="9594">
      <c r="F9594">
        <f>F9593+1</f>
        <v/>
      </c>
      <c r="G9594" s="92">
        <f>EXP($C$12+$C$8*_xlfn.NORM.S.INV(RAND()))</f>
        <v/>
      </c>
    </row>
    <row r="9595">
      <c r="F9595">
        <f>F9594+1</f>
        <v/>
      </c>
      <c r="G9595" s="92">
        <f>EXP($C$12+$C$8*_xlfn.NORM.S.INV(RAND()))</f>
        <v/>
      </c>
    </row>
    <row r="9596">
      <c r="F9596">
        <f>F9595+1</f>
        <v/>
      </c>
      <c r="G9596" s="92">
        <f>EXP($C$12+$C$8*_xlfn.NORM.S.INV(RAND()))</f>
        <v/>
      </c>
    </row>
    <row r="9597">
      <c r="F9597">
        <f>F9596+1</f>
        <v/>
      </c>
      <c r="G9597" s="92">
        <f>EXP($C$12+$C$8*_xlfn.NORM.S.INV(RAND()))</f>
        <v/>
      </c>
    </row>
    <row r="9598">
      <c r="F9598">
        <f>F9597+1</f>
        <v/>
      </c>
      <c r="G9598" s="92">
        <f>EXP($C$12+$C$8*_xlfn.NORM.S.INV(RAND()))</f>
        <v/>
      </c>
    </row>
    <row r="9599">
      <c r="F9599">
        <f>F9598+1</f>
        <v/>
      </c>
      <c r="G9599" s="92">
        <f>EXP($C$12+$C$8*_xlfn.NORM.S.INV(RAND()))</f>
        <v/>
      </c>
    </row>
    <row r="9600">
      <c r="F9600">
        <f>F9599+1</f>
        <v/>
      </c>
      <c r="G9600" s="92">
        <f>EXP($C$12+$C$8*_xlfn.NORM.S.INV(RAND()))</f>
        <v/>
      </c>
    </row>
    <row r="9601">
      <c r="F9601">
        <f>F9600+1</f>
        <v/>
      </c>
      <c r="G9601" s="92">
        <f>EXP($C$12+$C$8*_xlfn.NORM.S.INV(RAND()))</f>
        <v/>
      </c>
    </row>
    <row r="9602">
      <c r="F9602">
        <f>F9601+1</f>
        <v/>
      </c>
      <c r="G9602" s="92">
        <f>EXP($C$12+$C$8*_xlfn.NORM.S.INV(RAND()))</f>
        <v/>
      </c>
    </row>
    <row r="9603">
      <c r="F9603">
        <f>F9602+1</f>
        <v/>
      </c>
      <c r="G9603" s="92">
        <f>EXP($C$12+$C$8*_xlfn.NORM.S.INV(RAND()))</f>
        <v/>
      </c>
    </row>
    <row r="9604">
      <c r="F9604">
        <f>F9603+1</f>
        <v/>
      </c>
      <c r="G9604" s="92">
        <f>EXP($C$12+$C$8*_xlfn.NORM.S.INV(RAND()))</f>
        <v/>
      </c>
    </row>
    <row r="9605">
      <c r="F9605">
        <f>F9604+1</f>
        <v/>
      </c>
      <c r="G9605" s="92">
        <f>EXP($C$12+$C$8*_xlfn.NORM.S.INV(RAND()))</f>
        <v/>
      </c>
    </row>
    <row r="9606">
      <c r="F9606">
        <f>F9605+1</f>
        <v/>
      </c>
      <c r="G9606" s="92">
        <f>EXP($C$12+$C$8*_xlfn.NORM.S.INV(RAND()))</f>
        <v/>
      </c>
    </row>
    <row r="9607">
      <c r="F9607">
        <f>F9606+1</f>
        <v/>
      </c>
      <c r="G9607" s="92">
        <f>EXP($C$12+$C$8*_xlfn.NORM.S.INV(RAND()))</f>
        <v/>
      </c>
    </row>
    <row r="9608">
      <c r="F9608">
        <f>F9607+1</f>
        <v/>
      </c>
      <c r="G9608" s="92">
        <f>EXP($C$12+$C$8*_xlfn.NORM.S.INV(RAND()))</f>
        <v/>
      </c>
    </row>
    <row r="9609">
      <c r="F9609">
        <f>F9608+1</f>
        <v/>
      </c>
      <c r="G9609" s="92">
        <f>EXP($C$12+$C$8*_xlfn.NORM.S.INV(RAND()))</f>
        <v/>
      </c>
    </row>
    <row r="9610">
      <c r="F9610">
        <f>F9609+1</f>
        <v/>
      </c>
      <c r="G9610" s="92">
        <f>EXP($C$12+$C$8*_xlfn.NORM.S.INV(RAND()))</f>
        <v/>
      </c>
    </row>
    <row r="9611">
      <c r="F9611">
        <f>F9610+1</f>
        <v/>
      </c>
      <c r="G9611" s="92">
        <f>EXP($C$12+$C$8*_xlfn.NORM.S.INV(RAND()))</f>
        <v/>
      </c>
    </row>
    <row r="9612">
      <c r="F9612">
        <f>F9611+1</f>
        <v/>
      </c>
      <c r="G9612" s="92">
        <f>EXP($C$12+$C$8*_xlfn.NORM.S.INV(RAND()))</f>
        <v/>
      </c>
    </row>
    <row r="9613">
      <c r="F9613">
        <f>F9612+1</f>
        <v/>
      </c>
      <c r="G9613" s="92">
        <f>EXP($C$12+$C$8*_xlfn.NORM.S.INV(RAND()))</f>
        <v/>
      </c>
    </row>
    <row r="9614">
      <c r="F9614">
        <f>F9613+1</f>
        <v/>
      </c>
      <c r="G9614" s="92">
        <f>EXP($C$12+$C$8*_xlfn.NORM.S.INV(RAND()))</f>
        <v/>
      </c>
    </row>
    <row r="9615">
      <c r="F9615">
        <f>F9614+1</f>
        <v/>
      </c>
      <c r="G9615" s="92">
        <f>EXP($C$12+$C$8*_xlfn.NORM.S.INV(RAND()))</f>
        <v/>
      </c>
    </row>
    <row r="9616">
      <c r="F9616">
        <f>F9615+1</f>
        <v/>
      </c>
      <c r="G9616" s="92">
        <f>EXP($C$12+$C$8*_xlfn.NORM.S.INV(RAND()))</f>
        <v/>
      </c>
    </row>
    <row r="9617">
      <c r="F9617">
        <f>F9616+1</f>
        <v/>
      </c>
      <c r="G9617" s="92">
        <f>EXP($C$12+$C$8*_xlfn.NORM.S.INV(RAND()))</f>
        <v/>
      </c>
    </row>
    <row r="9618">
      <c r="F9618">
        <f>F9617+1</f>
        <v/>
      </c>
      <c r="G9618" s="92">
        <f>EXP($C$12+$C$8*_xlfn.NORM.S.INV(RAND()))</f>
        <v/>
      </c>
    </row>
    <row r="9619">
      <c r="F9619">
        <f>F9618+1</f>
        <v/>
      </c>
      <c r="G9619" s="92">
        <f>EXP($C$12+$C$8*_xlfn.NORM.S.INV(RAND()))</f>
        <v/>
      </c>
    </row>
    <row r="9620">
      <c r="F9620">
        <f>F9619+1</f>
        <v/>
      </c>
      <c r="G9620" s="92">
        <f>EXP($C$12+$C$8*_xlfn.NORM.S.INV(RAND()))</f>
        <v/>
      </c>
    </row>
    <row r="9621">
      <c r="F9621">
        <f>F9620+1</f>
        <v/>
      </c>
      <c r="G9621" s="92">
        <f>EXP($C$12+$C$8*_xlfn.NORM.S.INV(RAND()))</f>
        <v/>
      </c>
    </row>
    <row r="9622">
      <c r="F9622">
        <f>F9621+1</f>
        <v/>
      </c>
      <c r="G9622" s="92">
        <f>EXP($C$12+$C$8*_xlfn.NORM.S.INV(RAND()))</f>
        <v/>
      </c>
    </row>
    <row r="9623">
      <c r="F9623">
        <f>F9622+1</f>
        <v/>
      </c>
      <c r="G9623" s="92">
        <f>EXP($C$12+$C$8*_xlfn.NORM.S.INV(RAND()))</f>
        <v/>
      </c>
    </row>
    <row r="9624">
      <c r="F9624">
        <f>F9623+1</f>
        <v/>
      </c>
      <c r="G9624" s="92">
        <f>EXP($C$12+$C$8*_xlfn.NORM.S.INV(RAND()))</f>
        <v/>
      </c>
    </row>
    <row r="9625">
      <c r="F9625">
        <f>F9624+1</f>
        <v/>
      </c>
      <c r="G9625" s="92">
        <f>EXP($C$12+$C$8*_xlfn.NORM.S.INV(RAND()))</f>
        <v/>
      </c>
    </row>
    <row r="9626">
      <c r="F9626">
        <f>F9625+1</f>
        <v/>
      </c>
      <c r="G9626" s="92">
        <f>EXP($C$12+$C$8*_xlfn.NORM.S.INV(RAND()))</f>
        <v/>
      </c>
    </row>
    <row r="9627">
      <c r="F9627">
        <f>F9626+1</f>
        <v/>
      </c>
      <c r="G9627" s="92">
        <f>EXP($C$12+$C$8*_xlfn.NORM.S.INV(RAND()))</f>
        <v/>
      </c>
    </row>
    <row r="9628">
      <c r="F9628">
        <f>F9627+1</f>
        <v/>
      </c>
      <c r="G9628" s="92">
        <f>EXP($C$12+$C$8*_xlfn.NORM.S.INV(RAND()))</f>
        <v/>
      </c>
    </row>
    <row r="9629">
      <c r="F9629">
        <f>F9628+1</f>
        <v/>
      </c>
      <c r="G9629" s="92">
        <f>EXP($C$12+$C$8*_xlfn.NORM.S.INV(RAND()))</f>
        <v/>
      </c>
    </row>
    <row r="9630">
      <c r="F9630">
        <f>F9629+1</f>
        <v/>
      </c>
      <c r="G9630" s="92">
        <f>EXP($C$12+$C$8*_xlfn.NORM.S.INV(RAND()))</f>
        <v/>
      </c>
    </row>
    <row r="9631">
      <c r="F9631">
        <f>F9630+1</f>
        <v/>
      </c>
      <c r="G9631" s="92">
        <f>EXP($C$12+$C$8*_xlfn.NORM.S.INV(RAND()))</f>
        <v/>
      </c>
    </row>
    <row r="9632">
      <c r="F9632">
        <f>F9631+1</f>
        <v/>
      </c>
      <c r="G9632" s="92">
        <f>EXP($C$12+$C$8*_xlfn.NORM.S.INV(RAND()))</f>
        <v/>
      </c>
    </row>
    <row r="9633">
      <c r="F9633">
        <f>F9632+1</f>
        <v/>
      </c>
      <c r="G9633" s="92">
        <f>EXP($C$12+$C$8*_xlfn.NORM.S.INV(RAND()))</f>
        <v/>
      </c>
    </row>
    <row r="9634">
      <c r="F9634">
        <f>F9633+1</f>
        <v/>
      </c>
      <c r="G9634" s="92">
        <f>EXP($C$12+$C$8*_xlfn.NORM.S.INV(RAND()))</f>
        <v/>
      </c>
    </row>
    <row r="9635">
      <c r="F9635">
        <f>F9634+1</f>
        <v/>
      </c>
      <c r="G9635" s="92">
        <f>EXP($C$12+$C$8*_xlfn.NORM.S.INV(RAND()))</f>
        <v/>
      </c>
    </row>
    <row r="9636">
      <c r="F9636">
        <f>F9635+1</f>
        <v/>
      </c>
      <c r="G9636" s="92">
        <f>EXP($C$12+$C$8*_xlfn.NORM.S.INV(RAND()))</f>
        <v/>
      </c>
    </row>
    <row r="9637">
      <c r="F9637">
        <f>F9636+1</f>
        <v/>
      </c>
      <c r="G9637" s="92">
        <f>EXP($C$12+$C$8*_xlfn.NORM.S.INV(RAND()))</f>
        <v/>
      </c>
    </row>
    <row r="9638">
      <c r="F9638">
        <f>F9637+1</f>
        <v/>
      </c>
      <c r="G9638" s="92">
        <f>EXP($C$12+$C$8*_xlfn.NORM.S.INV(RAND()))</f>
        <v/>
      </c>
    </row>
    <row r="9639">
      <c r="F9639">
        <f>F9638+1</f>
        <v/>
      </c>
      <c r="G9639" s="92">
        <f>EXP($C$12+$C$8*_xlfn.NORM.S.INV(RAND()))</f>
        <v/>
      </c>
    </row>
    <row r="9640">
      <c r="F9640">
        <f>F9639+1</f>
        <v/>
      </c>
      <c r="G9640" s="92">
        <f>EXP($C$12+$C$8*_xlfn.NORM.S.INV(RAND()))</f>
        <v/>
      </c>
    </row>
    <row r="9641">
      <c r="F9641">
        <f>F9640+1</f>
        <v/>
      </c>
      <c r="G9641" s="92">
        <f>EXP($C$12+$C$8*_xlfn.NORM.S.INV(RAND()))</f>
        <v/>
      </c>
    </row>
    <row r="9642">
      <c r="F9642">
        <f>F9641+1</f>
        <v/>
      </c>
      <c r="G9642" s="92">
        <f>EXP($C$12+$C$8*_xlfn.NORM.S.INV(RAND()))</f>
        <v/>
      </c>
    </row>
    <row r="9643">
      <c r="F9643">
        <f>F9642+1</f>
        <v/>
      </c>
      <c r="G9643" s="92">
        <f>EXP($C$12+$C$8*_xlfn.NORM.S.INV(RAND()))</f>
        <v/>
      </c>
    </row>
    <row r="9644">
      <c r="F9644">
        <f>F9643+1</f>
        <v/>
      </c>
      <c r="G9644" s="92">
        <f>EXP($C$12+$C$8*_xlfn.NORM.S.INV(RAND()))</f>
        <v/>
      </c>
    </row>
    <row r="9645">
      <c r="F9645">
        <f>F9644+1</f>
        <v/>
      </c>
      <c r="G9645" s="92">
        <f>EXP($C$12+$C$8*_xlfn.NORM.S.INV(RAND()))</f>
        <v/>
      </c>
    </row>
    <row r="9646">
      <c r="F9646">
        <f>F9645+1</f>
        <v/>
      </c>
      <c r="G9646" s="92">
        <f>EXP($C$12+$C$8*_xlfn.NORM.S.INV(RAND()))</f>
        <v/>
      </c>
    </row>
    <row r="9647">
      <c r="F9647">
        <f>F9646+1</f>
        <v/>
      </c>
      <c r="G9647" s="92">
        <f>EXP($C$12+$C$8*_xlfn.NORM.S.INV(RAND()))</f>
        <v/>
      </c>
    </row>
    <row r="9648">
      <c r="F9648">
        <f>F9647+1</f>
        <v/>
      </c>
      <c r="G9648" s="92">
        <f>EXP($C$12+$C$8*_xlfn.NORM.S.INV(RAND()))</f>
        <v/>
      </c>
    </row>
    <row r="9649">
      <c r="F9649">
        <f>F9648+1</f>
        <v/>
      </c>
      <c r="G9649" s="92">
        <f>EXP($C$12+$C$8*_xlfn.NORM.S.INV(RAND()))</f>
        <v/>
      </c>
    </row>
    <row r="9650">
      <c r="F9650">
        <f>F9649+1</f>
        <v/>
      </c>
      <c r="G9650" s="92">
        <f>EXP($C$12+$C$8*_xlfn.NORM.S.INV(RAND()))</f>
        <v/>
      </c>
    </row>
    <row r="9651">
      <c r="F9651">
        <f>F9650+1</f>
        <v/>
      </c>
      <c r="G9651" s="92">
        <f>EXP($C$12+$C$8*_xlfn.NORM.S.INV(RAND()))</f>
        <v/>
      </c>
    </row>
    <row r="9652">
      <c r="F9652">
        <f>F9651+1</f>
        <v/>
      </c>
      <c r="G9652" s="92">
        <f>EXP($C$12+$C$8*_xlfn.NORM.S.INV(RAND()))</f>
        <v/>
      </c>
    </row>
    <row r="9653">
      <c r="F9653">
        <f>F9652+1</f>
        <v/>
      </c>
      <c r="G9653" s="92">
        <f>EXP($C$12+$C$8*_xlfn.NORM.S.INV(RAND()))</f>
        <v/>
      </c>
    </row>
    <row r="9654">
      <c r="F9654">
        <f>F9653+1</f>
        <v/>
      </c>
      <c r="G9654" s="92">
        <f>EXP($C$12+$C$8*_xlfn.NORM.S.INV(RAND()))</f>
        <v/>
      </c>
    </row>
    <row r="9655">
      <c r="F9655">
        <f>F9654+1</f>
        <v/>
      </c>
      <c r="G9655" s="92">
        <f>EXP($C$12+$C$8*_xlfn.NORM.S.INV(RAND()))</f>
        <v/>
      </c>
    </row>
    <row r="9656">
      <c r="F9656">
        <f>F9655+1</f>
        <v/>
      </c>
      <c r="G9656" s="92">
        <f>EXP($C$12+$C$8*_xlfn.NORM.S.INV(RAND()))</f>
        <v/>
      </c>
    </row>
    <row r="9657">
      <c r="F9657">
        <f>F9656+1</f>
        <v/>
      </c>
      <c r="G9657" s="92">
        <f>EXP($C$12+$C$8*_xlfn.NORM.S.INV(RAND()))</f>
        <v/>
      </c>
    </row>
    <row r="9658">
      <c r="F9658">
        <f>F9657+1</f>
        <v/>
      </c>
      <c r="G9658" s="92">
        <f>EXP($C$12+$C$8*_xlfn.NORM.S.INV(RAND()))</f>
        <v/>
      </c>
    </row>
    <row r="9659">
      <c r="F9659">
        <f>F9658+1</f>
        <v/>
      </c>
      <c r="G9659" s="92">
        <f>EXP($C$12+$C$8*_xlfn.NORM.S.INV(RAND()))</f>
        <v/>
      </c>
    </row>
    <row r="9660">
      <c r="F9660">
        <f>F9659+1</f>
        <v/>
      </c>
      <c r="G9660" s="92">
        <f>EXP($C$12+$C$8*_xlfn.NORM.S.INV(RAND()))</f>
        <v/>
      </c>
    </row>
    <row r="9661">
      <c r="F9661">
        <f>F9660+1</f>
        <v/>
      </c>
      <c r="G9661" s="92">
        <f>EXP($C$12+$C$8*_xlfn.NORM.S.INV(RAND()))</f>
        <v/>
      </c>
    </row>
    <row r="9662">
      <c r="F9662">
        <f>F9661+1</f>
        <v/>
      </c>
      <c r="G9662" s="92">
        <f>EXP($C$12+$C$8*_xlfn.NORM.S.INV(RAND()))</f>
        <v/>
      </c>
    </row>
    <row r="9663">
      <c r="F9663">
        <f>F9662+1</f>
        <v/>
      </c>
      <c r="G9663" s="92">
        <f>EXP($C$12+$C$8*_xlfn.NORM.S.INV(RAND()))</f>
        <v/>
      </c>
    </row>
    <row r="9664">
      <c r="F9664">
        <f>F9663+1</f>
        <v/>
      </c>
      <c r="G9664" s="92">
        <f>EXP($C$12+$C$8*_xlfn.NORM.S.INV(RAND()))</f>
        <v/>
      </c>
    </row>
    <row r="9665">
      <c r="F9665">
        <f>F9664+1</f>
        <v/>
      </c>
      <c r="G9665" s="92">
        <f>EXP($C$12+$C$8*_xlfn.NORM.S.INV(RAND()))</f>
        <v/>
      </c>
    </row>
    <row r="9666">
      <c r="F9666">
        <f>F9665+1</f>
        <v/>
      </c>
      <c r="G9666" s="92">
        <f>EXP($C$12+$C$8*_xlfn.NORM.S.INV(RAND()))</f>
        <v/>
      </c>
    </row>
    <row r="9667">
      <c r="F9667">
        <f>F9666+1</f>
        <v/>
      </c>
      <c r="G9667" s="92">
        <f>EXP($C$12+$C$8*_xlfn.NORM.S.INV(RAND()))</f>
        <v/>
      </c>
    </row>
    <row r="9668">
      <c r="F9668">
        <f>F9667+1</f>
        <v/>
      </c>
      <c r="G9668" s="92">
        <f>EXP($C$12+$C$8*_xlfn.NORM.S.INV(RAND()))</f>
        <v/>
      </c>
    </row>
    <row r="9669">
      <c r="F9669">
        <f>F9668+1</f>
        <v/>
      </c>
      <c r="G9669" s="92">
        <f>EXP($C$12+$C$8*_xlfn.NORM.S.INV(RAND()))</f>
        <v/>
      </c>
    </row>
    <row r="9670">
      <c r="F9670">
        <f>F9669+1</f>
        <v/>
      </c>
      <c r="G9670" s="92">
        <f>EXP($C$12+$C$8*_xlfn.NORM.S.INV(RAND()))</f>
        <v/>
      </c>
    </row>
    <row r="9671">
      <c r="F9671">
        <f>F9670+1</f>
        <v/>
      </c>
      <c r="G9671" s="92">
        <f>EXP($C$12+$C$8*_xlfn.NORM.S.INV(RAND()))</f>
        <v/>
      </c>
    </row>
    <row r="9672">
      <c r="F9672">
        <f>F9671+1</f>
        <v/>
      </c>
      <c r="G9672" s="92">
        <f>EXP($C$12+$C$8*_xlfn.NORM.S.INV(RAND()))</f>
        <v/>
      </c>
    </row>
    <row r="9673">
      <c r="F9673">
        <f>F9672+1</f>
        <v/>
      </c>
      <c r="G9673" s="92">
        <f>EXP($C$12+$C$8*_xlfn.NORM.S.INV(RAND()))</f>
        <v/>
      </c>
    </row>
    <row r="9674">
      <c r="F9674">
        <f>F9673+1</f>
        <v/>
      </c>
      <c r="G9674" s="92">
        <f>EXP($C$12+$C$8*_xlfn.NORM.S.INV(RAND()))</f>
        <v/>
      </c>
    </row>
    <row r="9675">
      <c r="F9675">
        <f>F9674+1</f>
        <v/>
      </c>
      <c r="G9675" s="92">
        <f>EXP($C$12+$C$8*_xlfn.NORM.S.INV(RAND()))</f>
        <v/>
      </c>
    </row>
    <row r="9676">
      <c r="F9676">
        <f>F9675+1</f>
        <v/>
      </c>
      <c r="G9676" s="92">
        <f>EXP($C$12+$C$8*_xlfn.NORM.S.INV(RAND()))</f>
        <v/>
      </c>
    </row>
    <row r="9677">
      <c r="F9677">
        <f>F9676+1</f>
        <v/>
      </c>
      <c r="G9677" s="92">
        <f>EXP($C$12+$C$8*_xlfn.NORM.S.INV(RAND()))</f>
        <v/>
      </c>
    </row>
    <row r="9678">
      <c r="F9678">
        <f>F9677+1</f>
        <v/>
      </c>
      <c r="G9678" s="92">
        <f>EXP($C$12+$C$8*_xlfn.NORM.S.INV(RAND()))</f>
        <v/>
      </c>
    </row>
    <row r="9679">
      <c r="F9679">
        <f>F9678+1</f>
        <v/>
      </c>
      <c r="G9679" s="92">
        <f>EXP($C$12+$C$8*_xlfn.NORM.S.INV(RAND()))</f>
        <v/>
      </c>
    </row>
    <row r="9680">
      <c r="F9680">
        <f>F9679+1</f>
        <v/>
      </c>
      <c r="G9680" s="92">
        <f>EXP($C$12+$C$8*_xlfn.NORM.S.INV(RAND()))</f>
        <v/>
      </c>
    </row>
    <row r="9681">
      <c r="F9681">
        <f>F9680+1</f>
        <v/>
      </c>
      <c r="G9681" s="92">
        <f>EXP($C$12+$C$8*_xlfn.NORM.S.INV(RAND()))</f>
        <v/>
      </c>
    </row>
    <row r="9682">
      <c r="F9682">
        <f>F9681+1</f>
        <v/>
      </c>
      <c r="G9682" s="92">
        <f>EXP($C$12+$C$8*_xlfn.NORM.S.INV(RAND()))</f>
        <v/>
      </c>
    </row>
    <row r="9683">
      <c r="F9683">
        <f>F9682+1</f>
        <v/>
      </c>
      <c r="G9683" s="92">
        <f>EXP($C$12+$C$8*_xlfn.NORM.S.INV(RAND()))</f>
        <v/>
      </c>
    </row>
    <row r="9684">
      <c r="F9684">
        <f>F9683+1</f>
        <v/>
      </c>
      <c r="G9684" s="92">
        <f>EXP($C$12+$C$8*_xlfn.NORM.S.INV(RAND()))</f>
        <v/>
      </c>
    </row>
    <row r="9685">
      <c r="F9685">
        <f>F9684+1</f>
        <v/>
      </c>
      <c r="G9685" s="92">
        <f>EXP($C$12+$C$8*_xlfn.NORM.S.INV(RAND()))</f>
        <v/>
      </c>
    </row>
    <row r="9686">
      <c r="F9686">
        <f>F9685+1</f>
        <v/>
      </c>
      <c r="G9686" s="92">
        <f>EXP($C$12+$C$8*_xlfn.NORM.S.INV(RAND()))</f>
        <v/>
      </c>
    </row>
    <row r="9687">
      <c r="F9687">
        <f>F9686+1</f>
        <v/>
      </c>
      <c r="G9687" s="92">
        <f>EXP($C$12+$C$8*_xlfn.NORM.S.INV(RAND()))</f>
        <v/>
      </c>
    </row>
    <row r="9688">
      <c r="F9688">
        <f>F9687+1</f>
        <v/>
      </c>
      <c r="G9688" s="92">
        <f>EXP($C$12+$C$8*_xlfn.NORM.S.INV(RAND()))</f>
        <v/>
      </c>
    </row>
    <row r="9689">
      <c r="F9689">
        <f>F9688+1</f>
        <v/>
      </c>
      <c r="G9689" s="92">
        <f>EXP($C$12+$C$8*_xlfn.NORM.S.INV(RAND()))</f>
        <v/>
      </c>
    </row>
    <row r="9690">
      <c r="F9690">
        <f>F9689+1</f>
        <v/>
      </c>
      <c r="G9690" s="92">
        <f>EXP($C$12+$C$8*_xlfn.NORM.S.INV(RAND()))</f>
        <v/>
      </c>
    </row>
    <row r="9691">
      <c r="F9691">
        <f>F9690+1</f>
        <v/>
      </c>
      <c r="G9691" s="92">
        <f>EXP($C$12+$C$8*_xlfn.NORM.S.INV(RAND()))</f>
        <v/>
      </c>
    </row>
    <row r="9692">
      <c r="F9692">
        <f>F9691+1</f>
        <v/>
      </c>
      <c r="G9692" s="92">
        <f>EXP($C$12+$C$8*_xlfn.NORM.S.INV(RAND()))</f>
        <v/>
      </c>
    </row>
    <row r="9693">
      <c r="F9693">
        <f>F9692+1</f>
        <v/>
      </c>
      <c r="G9693" s="92">
        <f>EXP($C$12+$C$8*_xlfn.NORM.S.INV(RAND()))</f>
        <v/>
      </c>
    </row>
    <row r="9694">
      <c r="F9694">
        <f>F9693+1</f>
        <v/>
      </c>
      <c r="G9694" s="92">
        <f>EXP($C$12+$C$8*_xlfn.NORM.S.INV(RAND()))</f>
        <v/>
      </c>
    </row>
    <row r="9695">
      <c r="F9695">
        <f>F9694+1</f>
        <v/>
      </c>
      <c r="G9695" s="92">
        <f>EXP($C$12+$C$8*_xlfn.NORM.S.INV(RAND()))</f>
        <v/>
      </c>
    </row>
    <row r="9696">
      <c r="F9696">
        <f>F9695+1</f>
        <v/>
      </c>
      <c r="G9696" s="92">
        <f>EXP($C$12+$C$8*_xlfn.NORM.S.INV(RAND()))</f>
        <v/>
      </c>
    </row>
    <row r="9697">
      <c r="F9697">
        <f>F9696+1</f>
        <v/>
      </c>
      <c r="G9697" s="92">
        <f>EXP($C$12+$C$8*_xlfn.NORM.S.INV(RAND()))</f>
        <v/>
      </c>
    </row>
    <row r="9698">
      <c r="F9698">
        <f>F9697+1</f>
        <v/>
      </c>
      <c r="G9698" s="92">
        <f>EXP($C$12+$C$8*_xlfn.NORM.S.INV(RAND()))</f>
        <v/>
      </c>
    </row>
    <row r="9699">
      <c r="F9699">
        <f>F9698+1</f>
        <v/>
      </c>
      <c r="G9699" s="92">
        <f>EXP($C$12+$C$8*_xlfn.NORM.S.INV(RAND()))</f>
        <v/>
      </c>
    </row>
    <row r="9700">
      <c r="F9700">
        <f>F9699+1</f>
        <v/>
      </c>
      <c r="G9700" s="92">
        <f>EXP($C$12+$C$8*_xlfn.NORM.S.INV(RAND()))</f>
        <v/>
      </c>
    </row>
    <row r="9701">
      <c r="F9701">
        <f>F9700+1</f>
        <v/>
      </c>
      <c r="G9701" s="92">
        <f>EXP($C$12+$C$8*_xlfn.NORM.S.INV(RAND()))</f>
        <v/>
      </c>
    </row>
    <row r="9702">
      <c r="F9702">
        <f>F9701+1</f>
        <v/>
      </c>
      <c r="G9702" s="92">
        <f>EXP($C$12+$C$8*_xlfn.NORM.S.INV(RAND()))</f>
        <v/>
      </c>
    </row>
    <row r="9703">
      <c r="F9703">
        <f>F9702+1</f>
        <v/>
      </c>
      <c r="G9703" s="92">
        <f>EXP($C$12+$C$8*_xlfn.NORM.S.INV(RAND()))</f>
        <v/>
      </c>
    </row>
    <row r="9704">
      <c r="F9704">
        <f>F9703+1</f>
        <v/>
      </c>
      <c r="G9704" s="92">
        <f>EXP($C$12+$C$8*_xlfn.NORM.S.INV(RAND()))</f>
        <v/>
      </c>
    </row>
    <row r="9705">
      <c r="F9705">
        <f>F9704+1</f>
        <v/>
      </c>
      <c r="G9705" s="92">
        <f>EXP($C$12+$C$8*_xlfn.NORM.S.INV(RAND()))</f>
        <v/>
      </c>
    </row>
    <row r="9706">
      <c r="F9706">
        <f>F9705+1</f>
        <v/>
      </c>
      <c r="G9706" s="92">
        <f>EXP($C$12+$C$8*_xlfn.NORM.S.INV(RAND()))</f>
        <v/>
      </c>
    </row>
    <row r="9707">
      <c r="F9707">
        <f>F9706+1</f>
        <v/>
      </c>
      <c r="G9707" s="92">
        <f>EXP($C$12+$C$8*_xlfn.NORM.S.INV(RAND()))</f>
        <v/>
      </c>
    </row>
    <row r="9708">
      <c r="F9708">
        <f>F9707+1</f>
        <v/>
      </c>
      <c r="G9708" s="92">
        <f>EXP($C$12+$C$8*_xlfn.NORM.S.INV(RAND()))</f>
        <v/>
      </c>
    </row>
    <row r="9709">
      <c r="F9709">
        <f>F9708+1</f>
        <v/>
      </c>
      <c r="G9709" s="92">
        <f>EXP($C$12+$C$8*_xlfn.NORM.S.INV(RAND()))</f>
        <v/>
      </c>
    </row>
    <row r="9710">
      <c r="F9710">
        <f>F9709+1</f>
        <v/>
      </c>
      <c r="G9710" s="92">
        <f>EXP($C$12+$C$8*_xlfn.NORM.S.INV(RAND()))</f>
        <v/>
      </c>
    </row>
    <row r="9711">
      <c r="F9711">
        <f>F9710+1</f>
        <v/>
      </c>
      <c r="G9711" s="92">
        <f>EXP($C$12+$C$8*_xlfn.NORM.S.INV(RAND()))</f>
        <v/>
      </c>
    </row>
    <row r="9712">
      <c r="F9712">
        <f>F9711+1</f>
        <v/>
      </c>
      <c r="G9712" s="92">
        <f>EXP($C$12+$C$8*_xlfn.NORM.S.INV(RAND()))</f>
        <v/>
      </c>
    </row>
    <row r="9713">
      <c r="F9713">
        <f>F9712+1</f>
        <v/>
      </c>
      <c r="G9713" s="92">
        <f>EXP($C$12+$C$8*_xlfn.NORM.S.INV(RAND()))</f>
        <v/>
      </c>
    </row>
    <row r="9714">
      <c r="F9714">
        <f>F9713+1</f>
        <v/>
      </c>
      <c r="G9714" s="92">
        <f>EXP($C$12+$C$8*_xlfn.NORM.S.INV(RAND()))</f>
        <v/>
      </c>
    </row>
    <row r="9715">
      <c r="F9715">
        <f>F9714+1</f>
        <v/>
      </c>
      <c r="G9715" s="92">
        <f>EXP($C$12+$C$8*_xlfn.NORM.S.INV(RAND()))</f>
        <v/>
      </c>
    </row>
    <row r="9716">
      <c r="F9716">
        <f>F9715+1</f>
        <v/>
      </c>
      <c r="G9716" s="92">
        <f>EXP($C$12+$C$8*_xlfn.NORM.S.INV(RAND()))</f>
        <v/>
      </c>
    </row>
    <row r="9717">
      <c r="F9717">
        <f>F9716+1</f>
        <v/>
      </c>
      <c r="G9717" s="92">
        <f>EXP($C$12+$C$8*_xlfn.NORM.S.INV(RAND()))</f>
        <v/>
      </c>
    </row>
    <row r="9718">
      <c r="F9718">
        <f>F9717+1</f>
        <v/>
      </c>
      <c r="G9718" s="92">
        <f>EXP($C$12+$C$8*_xlfn.NORM.S.INV(RAND()))</f>
        <v/>
      </c>
    </row>
    <row r="9719">
      <c r="F9719">
        <f>F9718+1</f>
        <v/>
      </c>
      <c r="G9719" s="92">
        <f>EXP($C$12+$C$8*_xlfn.NORM.S.INV(RAND()))</f>
        <v/>
      </c>
    </row>
    <row r="9720">
      <c r="F9720">
        <f>F9719+1</f>
        <v/>
      </c>
      <c r="G9720" s="92">
        <f>EXP($C$12+$C$8*_xlfn.NORM.S.INV(RAND()))</f>
        <v/>
      </c>
    </row>
    <row r="9721">
      <c r="F9721">
        <f>F9720+1</f>
        <v/>
      </c>
      <c r="G9721" s="92">
        <f>EXP($C$12+$C$8*_xlfn.NORM.S.INV(RAND()))</f>
        <v/>
      </c>
    </row>
    <row r="9722">
      <c r="F9722">
        <f>F9721+1</f>
        <v/>
      </c>
      <c r="G9722" s="92">
        <f>EXP($C$12+$C$8*_xlfn.NORM.S.INV(RAND()))</f>
        <v/>
      </c>
    </row>
    <row r="9723">
      <c r="F9723">
        <f>F9722+1</f>
        <v/>
      </c>
      <c r="G9723" s="92">
        <f>EXP($C$12+$C$8*_xlfn.NORM.S.INV(RAND()))</f>
        <v/>
      </c>
    </row>
    <row r="9724">
      <c r="F9724">
        <f>F9723+1</f>
        <v/>
      </c>
      <c r="G9724" s="92">
        <f>EXP($C$12+$C$8*_xlfn.NORM.S.INV(RAND()))</f>
        <v/>
      </c>
    </row>
    <row r="9725">
      <c r="F9725">
        <f>F9724+1</f>
        <v/>
      </c>
      <c r="G9725" s="92">
        <f>EXP($C$12+$C$8*_xlfn.NORM.S.INV(RAND()))</f>
        <v/>
      </c>
    </row>
    <row r="9726">
      <c r="F9726">
        <f>F9725+1</f>
        <v/>
      </c>
      <c r="G9726" s="92">
        <f>EXP($C$12+$C$8*_xlfn.NORM.S.INV(RAND()))</f>
        <v/>
      </c>
    </row>
    <row r="9727">
      <c r="F9727">
        <f>F9726+1</f>
        <v/>
      </c>
      <c r="G9727" s="92">
        <f>EXP($C$12+$C$8*_xlfn.NORM.S.INV(RAND()))</f>
        <v/>
      </c>
    </row>
    <row r="9728">
      <c r="F9728">
        <f>F9727+1</f>
        <v/>
      </c>
      <c r="G9728" s="92">
        <f>EXP($C$12+$C$8*_xlfn.NORM.S.INV(RAND()))</f>
        <v/>
      </c>
    </row>
    <row r="9729">
      <c r="F9729">
        <f>F9728+1</f>
        <v/>
      </c>
      <c r="G9729" s="92">
        <f>EXP($C$12+$C$8*_xlfn.NORM.S.INV(RAND()))</f>
        <v/>
      </c>
    </row>
    <row r="9730">
      <c r="F9730">
        <f>F9729+1</f>
        <v/>
      </c>
      <c r="G9730" s="92">
        <f>EXP($C$12+$C$8*_xlfn.NORM.S.INV(RAND()))</f>
        <v/>
      </c>
    </row>
    <row r="9731">
      <c r="F9731">
        <f>F9730+1</f>
        <v/>
      </c>
      <c r="G9731" s="92">
        <f>EXP($C$12+$C$8*_xlfn.NORM.S.INV(RAND()))</f>
        <v/>
      </c>
    </row>
    <row r="9732">
      <c r="F9732">
        <f>F9731+1</f>
        <v/>
      </c>
      <c r="G9732" s="92">
        <f>EXP($C$12+$C$8*_xlfn.NORM.S.INV(RAND()))</f>
        <v/>
      </c>
    </row>
    <row r="9733">
      <c r="F9733">
        <f>F9732+1</f>
        <v/>
      </c>
      <c r="G9733" s="92">
        <f>EXP($C$12+$C$8*_xlfn.NORM.S.INV(RAND()))</f>
        <v/>
      </c>
    </row>
    <row r="9734">
      <c r="F9734">
        <f>F9733+1</f>
        <v/>
      </c>
      <c r="G9734" s="92">
        <f>EXP($C$12+$C$8*_xlfn.NORM.S.INV(RAND()))</f>
        <v/>
      </c>
    </row>
    <row r="9735">
      <c r="F9735">
        <f>F9734+1</f>
        <v/>
      </c>
      <c r="G9735" s="92">
        <f>EXP($C$12+$C$8*_xlfn.NORM.S.INV(RAND()))</f>
        <v/>
      </c>
    </row>
    <row r="9736">
      <c r="F9736">
        <f>F9735+1</f>
        <v/>
      </c>
      <c r="G9736" s="92">
        <f>EXP($C$12+$C$8*_xlfn.NORM.S.INV(RAND()))</f>
        <v/>
      </c>
    </row>
    <row r="9737">
      <c r="F9737">
        <f>F9736+1</f>
        <v/>
      </c>
      <c r="G9737" s="92">
        <f>EXP($C$12+$C$8*_xlfn.NORM.S.INV(RAND()))</f>
        <v/>
      </c>
    </row>
    <row r="9738">
      <c r="F9738">
        <f>F9737+1</f>
        <v/>
      </c>
      <c r="G9738" s="92">
        <f>EXP($C$12+$C$8*_xlfn.NORM.S.INV(RAND()))</f>
        <v/>
      </c>
    </row>
    <row r="9739">
      <c r="F9739">
        <f>F9738+1</f>
        <v/>
      </c>
      <c r="G9739" s="92">
        <f>EXP($C$12+$C$8*_xlfn.NORM.S.INV(RAND()))</f>
        <v/>
      </c>
    </row>
    <row r="9740">
      <c r="F9740">
        <f>F9739+1</f>
        <v/>
      </c>
      <c r="G9740" s="92">
        <f>EXP($C$12+$C$8*_xlfn.NORM.S.INV(RAND()))</f>
        <v/>
      </c>
    </row>
    <row r="9741">
      <c r="F9741">
        <f>F9740+1</f>
        <v/>
      </c>
      <c r="G9741" s="92">
        <f>EXP($C$12+$C$8*_xlfn.NORM.S.INV(RAND()))</f>
        <v/>
      </c>
    </row>
    <row r="9742">
      <c r="F9742">
        <f>F9741+1</f>
        <v/>
      </c>
      <c r="G9742" s="92">
        <f>EXP($C$12+$C$8*_xlfn.NORM.S.INV(RAND()))</f>
        <v/>
      </c>
    </row>
    <row r="9743">
      <c r="F9743">
        <f>F9742+1</f>
        <v/>
      </c>
      <c r="G9743" s="92">
        <f>EXP($C$12+$C$8*_xlfn.NORM.S.INV(RAND()))</f>
        <v/>
      </c>
    </row>
    <row r="9744">
      <c r="F9744">
        <f>F9743+1</f>
        <v/>
      </c>
      <c r="G9744" s="92">
        <f>EXP($C$12+$C$8*_xlfn.NORM.S.INV(RAND()))</f>
        <v/>
      </c>
    </row>
    <row r="9745">
      <c r="F9745">
        <f>F9744+1</f>
        <v/>
      </c>
      <c r="G9745" s="92">
        <f>EXP($C$12+$C$8*_xlfn.NORM.S.INV(RAND()))</f>
        <v/>
      </c>
    </row>
    <row r="9746">
      <c r="F9746">
        <f>F9745+1</f>
        <v/>
      </c>
      <c r="G9746" s="92">
        <f>EXP($C$12+$C$8*_xlfn.NORM.S.INV(RAND()))</f>
        <v/>
      </c>
    </row>
    <row r="9747">
      <c r="F9747">
        <f>F9746+1</f>
        <v/>
      </c>
      <c r="G9747" s="92">
        <f>EXP($C$12+$C$8*_xlfn.NORM.S.INV(RAND()))</f>
        <v/>
      </c>
    </row>
    <row r="9748">
      <c r="F9748">
        <f>F9747+1</f>
        <v/>
      </c>
      <c r="G9748" s="92">
        <f>EXP($C$12+$C$8*_xlfn.NORM.S.INV(RAND()))</f>
        <v/>
      </c>
    </row>
    <row r="9749">
      <c r="F9749">
        <f>F9748+1</f>
        <v/>
      </c>
      <c r="G9749" s="92">
        <f>EXP($C$12+$C$8*_xlfn.NORM.S.INV(RAND()))</f>
        <v/>
      </c>
    </row>
    <row r="9750">
      <c r="F9750">
        <f>F9749+1</f>
        <v/>
      </c>
      <c r="G9750" s="92">
        <f>EXP($C$12+$C$8*_xlfn.NORM.S.INV(RAND()))</f>
        <v/>
      </c>
    </row>
    <row r="9751">
      <c r="F9751">
        <f>F9750+1</f>
        <v/>
      </c>
      <c r="G9751" s="92">
        <f>EXP($C$12+$C$8*_xlfn.NORM.S.INV(RAND()))</f>
        <v/>
      </c>
    </row>
    <row r="9752">
      <c r="F9752">
        <f>F9751+1</f>
        <v/>
      </c>
      <c r="G9752" s="92">
        <f>EXP($C$12+$C$8*_xlfn.NORM.S.INV(RAND()))</f>
        <v/>
      </c>
    </row>
    <row r="9753">
      <c r="F9753">
        <f>F9752+1</f>
        <v/>
      </c>
      <c r="G9753" s="92">
        <f>EXP($C$12+$C$8*_xlfn.NORM.S.INV(RAND()))</f>
        <v/>
      </c>
    </row>
    <row r="9754">
      <c r="F9754">
        <f>F9753+1</f>
        <v/>
      </c>
      <c r="G9754" s="92">
        <f>EXP($C$12+$C$8*_xlfn.NORM.S.INV(RAND()))</f>
        <v/>
      </c>
    </row>
    <row r="9755">
      <c r="F9755">
        <f>F9754+1</f>
        <v/>
      </c>
      <c r="G9755" s="92">
        <f>EXP($C$12+$C$8*_xlfn.NORM.S.INV(RAND()))</f>
        <v/>
      </c>
    </row>
    <row r="9756">
      <c r="F9756">
        <f>F9755+1</f>
        <v/>
      </c>
      <c r="G9756" s="92">
        <f>EXP($C$12+$C$8*_xlfn.NORM.S.INV(RAND()))</f>
        <v/>
      </c>
    </row>
    <row r="9757">
      <c r="F9757">
        <f>F9756+1</f>
        <v/>
      </c>
      <c r="G9757" s="92">
        <f>EXP($C$12+$C$8*_xlfn.NORM.S.INV(RAND()))</f>
        <v/>
      </c>
    </row>
    <row r="9758">
      <c r="F9758">
        <f>F9757+1</f>
        <v/>
      </c>
      <c r="G9758" s="92">
        <f>EXP($C$12+$C$8*_xlfn.NORM.S.INV(RAND()))</f>
        <v/>
      </c>
    </row>
    <row r="9759">
      <c r="F9759">
        <f>F9758+1</f>
        <v/>
      </c>
      <c r="G9759" s="92">
        <f>EXP($C$12+$C$8*_xlfn.NORM.S.INV(RAND()))</f>
        <v/>
      </c>
    </row>
    <row r="9760">
      <c r="F9760">
        <f>F9759+1</f>
        <v/>
      </c>
      <c r="G9760" s="92">
        <f>EXP($C$12+$C$8*_xlfn.NORM.S.INV(RAND()))</f>
        <v/>
      </c>
    </row>
    <row r="9761">
      <c r="F9761">
        <f>F9760+1</f>
        <v/>
      </c>
      <c r="G9761" s="92">
        <f>EXP($C$12+$C$8*_xlfn.NORM.S.INV(RAND()))</f>
        <v/>
      </c>
    </row>
    <row r="9762">
      <c r="F9762">
        <f>F9761+1</f>
        <v/>
      </c>
      <c r="G9762" s="92">
        <f>EXP($C$12+$C$8*_xlfn.NORM.S.INV(RAND()))</f>
        <v/>
      </c>
    </row>
    <row r="9763">
      <c r="F9763">
        <f>F9762+1</f>
        <v/>
      </c>
      <c r="G9763" s="92">
        <f>EXP($C$12+$C$8*_xlfn.NORM.S.INV(RAND()))</f>
        <v/>
      </c>
    </row>
    <row r="9764">
      <c r="F9764">
        <f>F9763+1</f>
        <v/>
      </c>
      <c r="G9764" s="92">
        <f>EXP($C$12+$C$8*_xlfn.NORM.S.INV(RAND()))</f>
        <v/>
      </c>
    </row>
    <row r="9765">
      <c r="F9765">
        <f>F9764+1</f>
        <v/>
      </c>
      <c r="G9765" s="92">
        <f>EXP($C$12+$C$8*_xlfn.NORM.S.INV(RAND()))</f>
        <v/>
      </c>
    </row>
    <row r="9766">
      <c r="F9766">
        <f>F9765+1</f>
        <v/>
      </c>
      <c r="G9766" s="92">
        <f>EXP($C$12+$C$8*_xlfn.NORM.S.INV(RAND()))</f>
        <v/>
      </c>
    </row>
    <row r="9767">
      <c r="F9767">
        <f>F9766+1</f>
        <v/>
      </c>
      <c r="G9767" s="92">
        <f>EXP($C$12+$C$8*_xlfn.NORM.S.INV(RAND()))</f>
        <v/>
      </c>
    </row>
    <row r="9768">
      <c r="F9768">
        <f>F9767+1</f>
        <v/>
      </c>
      <c r="G9768" s="92">
        <f>EXP($C$12+$C$8*_xlfn.NORM.S.INV(RAND()))</f>
        <v/>
      </c>
    </row>
    <row r="9769">
      <c r="F9769">
        <f>F9768+1</f>
        <v/>
      </c>
      <c r="G9769" s="92">
        <f>EXP($C$12+$C$8*_xlfn.NORM.S.INV(RAND()))</f>
        <v/>
      </c>
    </row>
    <row r="9770">
      <c r="F9770">
        <f>F9769+1</f>
        <v/>
      </c>
      <c r="G9770" s="92">
        <f>EXP($C$12+$C$8*_xlfn.NORM.S.INV(RAND()))</f>
        <v/>
      </c>
    </row>
    <row r="9771">
      <c r="F9771">
        <f>F9770+1</f>
        <v/>
      </c>
      <c r="G9771" s="92">
        <f>EXP($C$12+$C$8*_xlfn.NORM.S.INV(RAND()))</f>
        <v/>
      </c>
    </row>
    <row r="9772">
      <c r="F9772">
        <f>F9771+1</f>
        <v/>
      </c>
      <c r="G9772" s="92">
        <f>EXP($C$12+$C$8*_xlfn.NORM.S.INV(RAND()))</f>
        <v/>
      </c>
    </row>
    <row r="9773">
      <c r="F9773">
        <f>F9772+1</f>
        <v/>
      </c>
      <c r="G9773" s="92">
        <f>EXP($C$12+$C$8*_xlfn.NORM.S.INV(RAND()))</f>
        <v/>
      </c>
    </row>
    <row r="9774">
      <c r="F9774">
        <f>F9773+1</f>
        <v/>
      </c>
      <c r="G9774" s="92">
        <f>EXP($C$12+$C$8*_xlfn.NORM.S.INV(RAND()))</f>
        <v/>
      </c>
    </row>
    <row r="9775">
      <c r="F9775">
        <f>F9774+1</f>
        <v/>
      </c>
      <c r="G9775" s="92">
        <f>EXP($C$12+$C$8*_xlfn.NORM.S.INV(RAND()))</f>
        <v/>
      </c>
    </row>
    <row r="9776">
      <c r="F9776">
        <f>F9775+1</f>
        <v/>
      </c>
      <c r="G9776" s="92">
        <f>EXP($C$12+$C$8*_xlfn.NORM.S.INV(RAND()))</f>
        <v/>
      </c>
    </row>
    <row r="9777">
      <c r="F9777">
        <f>F9776+1</f>
        <v/>
      </c>
      <c r="G9777" s="92">
        <f>EXP($C$12+$C$8*_xlfn.NORM.S.INV(RAND()))</f>
        <v/>
      </c>
    </row>
    <row r="9778">
      <c r="F9778">
        <f>F9777+1</f>
        <v/>
      </c>
      <c r="G9778" s="92">
        <f>EXP($C$12+$C$8*_xlfn.NORM.S.INV(RAND()))</f>
        <v/>
      </c>
    </row>
    <row r="9779">
      <c r="F9779">
        <f>F9778+1</f>
        <v/>
      </c>
      <c r="G9779" s="92">
        <f>EXP($C$12+$C$8*_xlfn.NORM.S.INV(RAND()))</f>
        <v/>
      </c>
    </row>
    <row r="9780">
      <c r="F9780">
        <f>F9779+1</f>
        <v/>
      </c>
      <c r="G9780" s="92">
        <f>EXP($C$12+$C$8*_xlfn.NORM.S.INV(RAND()))</f>
        <v/>
      </c>
    </row>
    <row r="9781">
      <c r="F9781">
        <f>F9780+1</f>
        <v/>
      </c>
      <c r="G9781" s="92">
        <f>EXP($C$12+$C$8*_xlfn.NORM.S.INV(RAND()))</f>
        <v/>
      </c>
    </row>
    <row r="9782">
      <c r="F9782">
        <f>F9781+1</f>
        <v/>
      </c>
      <c r="G9782" s="92">
        <f>EXP($C$12+$C$8*_xlfn.NORM.S.INV(RAND()))</f>
        <v/>
      </c>
    </row>
    <row r="9783">
      <c r="F9783">
        <f>F9782+1</f>
        <v/>
      </c>
      <c r="G9783" s="92">
        <f>EXP($C$12+$C$8*_xlfn.NORM.S.INV(RAND()))</f>
        <v/>
      </c>
    </row>
    <row r="9784">
      <c r="F9784">
        <f>F9783+1</f>
        <v/>
      </c>
      <c r="G9784" s="92">
        <f>EXP($C$12+$C$8*_xlfn.NORM.S.INV(RAND()))</f>
        <v/>
      </c>
    </row>
    <row r="9785">
      <c r="F9785">
        <f>F9784+1</f>
        <v/>
      </c>
      <c r="G9785" s="92">
        <f>EXP($C$12+$C$8*_xlfn.NORM.S.INV(RAND()))</f>
        <v/>
      </c>
    </row>
    <row r="9786">
      <c r="F9786">
        <f>F9785+1</f>
        <v/>
      </c>
      <c r="G9786" s="92">
        <f>EXP($C$12+$C$8*_xlfn.NORM.S.INV(RAND()))</f>
        <v/>
      </c>
    </row>
    <row r="9787">
      <c r="F9787">
        <f>F9786+1</f>
        <v/>
      </c>
      <c r="G9787" s="92">
        <f>EXP($C$12+$C$8*_xlfn.NORM.S.INV(RAND()))</f>
        <v/>
      </c>
    </row>
    <row r="9788">
      <c r="F9788">
        <f>F9787+1</f>
        <v/>
      </c>
      <c r="G9788" s="92">
        <f>EXP($C$12+$C$8*_xlfn.NORM.S.INV(RAND()))</f>
        <v/>
      </c>
    </row>
    <row r="9789">
      <c r="F9789">
        <f>F9788+1</f>
        <v/>
      </c>
      <c r="G9789" s="92">
        <f>EXP($C$12+$C$8*_xlfn.NORM.S.INV(RAND()))</f>
        <v/>
      </c>
    </row>
    <row r="9790">
      <c r="F9790">
        <f>F9789+1</f>
        <v/>
      </c>
      <c r="G9790" s="92">
        <f>EXP($C$12+$C$8*_xlfn.NORM.S.INV(RAND()))</f>
        <v/>
      </c>
    </row>
    <row r="9791">
      <c r="F9791">
        <f>F9790+1</f>
        <v/>
      </c>
      <c r="G9791" s="92">
        <f>EXP($C$12+$C$8*_xlfn.NORM.S.INV(RAND()))</f>
        <v/>
      </c>
    </row>
    <row r="9792">
      <c r="F9792">
        <f>F9791+1</f>
        <v/>
      </c>
      <c r="G9792" s="92">
        <f>EXP($C$12+$C$8*_xlfn.NORM.S.INV(RAND()))</f>
        <v/>
      </c>
    </row>
    <row r="9793">
      <c r="F9793">
        <f>F9792+1</f>
        <v/>
      </c>
      <c r="G9793" s="92">
        <f>EXP($C$12+$C$8*_xlfn.NORM.S.INV(RAND()))</f>
        <v/>
      </c>
    </row>
    <row r="9794">
      <c r="F9794">
        <f>F9793+1</f>
        <v/>
      </c>
      <c r="G9794" s="92">
        <f>EXP($C$12+$C$8*_xlfn.NORM.S.INV(RAND()))</f>
        <v/>
      </c>
    </row>
    <row r="9795">
      <c r="F9795">
        <f>F9794+1</f>
        <v/>
      </c>
      <c r="G9795" s="92">
        <f>EXP($C$12+$C$8*_xlfn.NORM.S.INV(RAND()))</f>
        <v/>
      </c>
    </row>
    <row r="9796">
      <c r="F9796">
        <f>F9795+1</f>
        <v/>
      </c>
      <c r="G9796" s="92">
        <f>EXP($C$12+$C$8*_xlfn.NORM.S.INV(RAND()))</f>
        <v/>
      </c>
    </row>
    <row r="9797">
      <c r="F9797">
        <f>F9796+1</f>
        <v/>
      </c>
      <c r="G9797" s="92">
        <f>EXP($C$12+$C$8*_xlfn.NORM.S.INV(RAND()))</f>
        <v/>
      </c>
    </row>
    <row r="9798">
      <c r="F9798">
        <f>F9797+1</f>
        <v/>
      </c>
      <c r="G9798" s="92">
        <f>EXP($C$12+$C$8*_xlfn.NORM.S.INV(RAND()))</f>
        <v/>
      </c>
    </row>
    <row r="9799">
      <c r="F9799">
        <f>F9798+1</f>
        <v/>
      </c>
      <c r="G9799" s="92">
        <f>EXP($C$12+$C$8*_xlfn.NORM.S.INV(RAND()))</f>
        <v/>
      </c>
    </row>
    <row r="9800">
      <c r="F9800">
        <f>F9799+1</f>
        <v/>
      </c>
      <c r="G9800" s="92">
        <f>EXP($C$12+$C$8*_xlfn.NORM.S.INV(RAND()))</f>
        <v/>
      </c>
    </row>
    <row r="9801">
      <c r="F9801">
        <f>F9800+1</f>
        <v/>
      </c>
      <c r="G9801" s="92">
        <f>EXP($C$12+$C$8*_xlfn.NORM.S.INV(RAND()))</f>
        <v/>
      </c>
    </row>
    <row r="9802">
      <c r="F9802">
        <f>F9801+1</f>
        <v/>
      </c>
      <c r="G9802" s="92">
        <f>EXP($C$12+$C$8*_xlfn.NORM.S.INV(RAND()))</f>
        <v/>
      </c>
    </row>
    <row r="9803">
      <c r="F9803">
        <f>F9802+1</f>
        <v/>
      </c>
      <c r="G9803" s="92">
        <f>EXP($C$12+$C$8*_xlfn.NORM.S.INV(RAND()))</f>
        <v/>
      </c>
    </row>
    <row r="9804">
      <c r="F9804">
        <f>F9803+1</f>
        <v/>
      </c>
      <c r="G9804" s="92">
        <f>EXP($C$12+$C$8*_xlfn.NORM.S.INV(RAND()))</f>
        <v/>
      </c>
    </row>
    <row r="9805">
      <c r="F9805">
        <f>F9804+1</f>
        <v/>
      </c>
      <c r="G9805" s="92">
        <f>EXP($C$12+$C$8*_xlfn.NORM.S.INV(RAND()))</f>
        <v/>
      </c>
    </row>
    <row r="9806">
      <c r="F9806">
        <f>F9805+1</f>
        <v/>
      </c>
      <c r="G9806" s="92">
        <f>EXP($C$12+$C$8*_xlfn.NORM.S.INV(RAND()))</f>
        <v/>
      </c>
    </row>
    <row r="9807">
      <c r="F9807">
        <f>F9806+1</f>
        <v/>
      </c>
      <c r="G9807" s="92">
        <f>EXP($C$12+$C$8*_xlfn.NORM.S.INV(RAND()))</f>
        <v/>
      </c>
    </row>
    <row r="9808">
      <c r="F9808">
        <f>F9807+1</f>
        <v/>
      </c>
      <c r="G9808" s="92">
        <f>EXP($C$12+$C$8*_xlfn.NORM.S.INV(RAND()))</f>
        <v/>
      </c>
    </row>
    <row r="9809">
      <c r="F9809">
        <f>F9808+1</f>
        <v/>
      </c>
      <c r="G9809" s="92">
        <f>EXP($C$12+$C$8*_xlfn.NORM.S.INV(RAND()))</f>
        <v/>
      </c>
    </row>
    <row r="9810">
      <c r="F9810">
        <f>F9809+1</f>
        <v/>
      </c>
      <c r="G9810" s="92">
        <f>EXP($C$12+$C$8*_xlfn.NORM.S.INV(RAND()))</f>
        <v/>
      </c>
    </row>
    <row r="9811">
      <c r="F9811">
        <f>F9810+1</f>
        <v/>
      </c>
      <c r="G9811" s="92">
        <f>EXP($C$12+$C$8*_xlfn.NORM.S.INV(RAND()))</f>
        <v/>
      </c>
    </row>
    <row r="9812">
      <c r="F9812">
        <f>F9811+1</f>
        <v/>
      </c>
      <c r="G9812" s="92">
        <f>EXP($C$12+$C$8*_xlfn.NORM.S.INV(RAND()))</f>
        <v/>
      </c>
    </row>
    <row r="9813">
      <c r="F9813">
        <f>F9812+1</f>
        <v/>
      </c>
      <c r="G9813" s="92">
        <f>EXP($C$12+$C$8*_xlfn.NORM.S.INV(RAND()))</f>
        <v/>
      </c>
    </row>
    <row r="9814">
      <c r="F9814">
        <f>F9813+1</f>
        <v/>
      </c>
      <c r="G9814" s="92">
        <f>EXP($C$12+$C$8*_xlfn.NORM.S.INV(RAND()))</f>
        <v/>
      </c>
    </row>
    <row r="9815">
      <c r="F9815">
        <f>F9814+1</f>
        <v/>
      </c>
      <c r="G9815" s="92">
        <f>EXP($C$12+$C$8*_xlfn.NORM.S.INV(RAND()))</f>
        <v/>
      </c>
    </row>
    <row r="9816">
      <c r="F9816">
        <f>F9815+1</f>
        <v/>
      </c>
      <c r="G9816" s="92">
        <f>EXP($C$12+$C$8*_xlfn.NORM.S.INV(RAND()))</f>
        <v/>
      </c>
    </row>
    <row r="9817">
      <c r="F9817">
        <f>F9816+1</f>
        <v/>
      </c>
      <c r="G9817" s="92">
        <f>EXP($C$12+$C$8*_xlfn.NORM.S.INV(RAND()))</f>
        <v/>
      </c>
    </row>
    <row r="9818">
      <c r="F9818">
        <f>F9817+1</f>
        <v/>
      </c>
      <c r="G9818" s="92">
        <f>EXP($C$12+$C$8*_xlfn.NORM.S.INV(RAND()))</f>
        <v/>
      </c>
    </row>
    <row r="9819">
      <c r="F9819">
        <f>F9818+1</f>
        <v/>
      </c>
      <c r="G9819" s="92">
        <f>EXP($C$12+$C$8*_xlfn.NORM.S.INV(RAND()))</f>
        <v/>
      </c>
    </row>
    <row r="9820">
      <c r="F9820">
        <f>F9819+1</f>
        <v/>
      </c>
      <c r="G9820" s="92">
        <f>EXP($C$12+$C$8*_xlfn.NORM.S.INV(RAND()))</f>
        <v/>
      </c>
    </row>
    <row r="9821">
      <c r="F9821">
        <f>F9820+1</f>
        <v/>
      </c>
      <c r="G9821" s="92">
        <f>EXP($C$12+$C$8*_xlfn.NORM.S.INV(RAND()))</f>
        <v/>
      </c>
    </row>
    <row r="9822">
      <c r="F9822">
        <f>F9821+1</f>
        <v/>
      </c>
      <c r="G9822" s="92">
        <f>EXP($C$12+$C$8*_xlfn.NORM.S.INV(RAND()))</f>
        <v/>
      </c>
    </row>
    <row r="9823">
      <c r="F9823">
        <f>F9822+1</f>
        <v/>
      </c>
      <c r="G9823" s="92">
        <f>EXP($C$12+$C$8*_xlfn.NORM.S.INV(RAND()))</f>
        <v/>
      </c>
    </row>
    <row r="9824">
      <c r="F9824">
        <f>F9823+1</f>
        <v/>
      </c>
      <c r="G9824" s="92">
        <f>EXP($C$12+$C$8*_xlfn.NORM.S.INV(RAND()))</f>
        <v/>
      </c>
    </row>
    <row r="9825">
      <c r="F9825">
        <f>F9824+1</f>
        <v/>
      </c>
      <c r="G9825" s="92">
        <f>EXP($C$12+$C$8*_xlfn.NORM.S.INV(RAND()))</f>
        <v/>
      </c>
    </row>
    <row r="9826">
      <c r="F9826">
        <f>F9825+1</f>
        <v/>
      </c>
      <c r="G9826" s="92">
        <f>EXP($C$12+$C$8*_xlfn.NORM.S.INV(RAND()))</f>
        <v/>
      </c>
    </row>
    <row r="9827">
      <c r="F9827">
        <f>F9826+1</f>
        <v/>
      </c>
      <c r="G9827" s="92">
        <f>EXP($C$12+$C$8*_xlfn.NORM.S.INV(RAND()))</f>
        <v/>
      </c>
    </row>
    <row r="9828">
      <c r="F9828">
        <f>F9827+1</f>
        <v/>
      </c>
      <c r="G9828" s="92">
        <f>EXP($C$12+$C$8*_xlfn.NORM.S.INV(RAND()))</f>
        <v/>
      </c>
    </row>
    <row r="9829">
      <c r="F9829">
        <f>F9828+1</f>
        <v/>
      </c>
      <c r="G9829" s="92">
        <f>EXP($C$12+$C$8*_xlfn.NORM.S.INV(RAND()))</f>
        <v/>
      </c>
    </row>
    <row r="9830">
      <c r="F9830">
        <f>F9829+1</f>
        <v/>
      </c>
      <c r="G9830" s="92">
        <f>EXP($C$12+$C$8*_xlfn.NORM.S.INV(RAND()))</f>
        <v/>
      </c>
    </row>
    <row r="9831">
      <c r="F9831">
        <f>F9830+1</f>
        <v/>
      </c>
      <c r="G9831" s="92">
        <f>EXP($C$12+$C$8*_xlfn.NORM.S.INV(RAND()))</f>
        <v/>
      </c>
    </row>
    <row r="9832">
      <c r="F9832">
        <f>F9831+1</f>
        <v/>
      </c>
      <c r="G9832" s="92">
        <f>EXP($C$12+$C$8*_xlfn.NORM.S.INV(RAND()))</f>
        <v/>
      </c>
    </row>
    <row r="9833">
      <c r="F9833">
        <f>F9832+1</f>
        <v/>
      </c>
      <c r="G9833" s="92">
        <f>EXP($C$12+$C$8*_xlfn.NORM.S.INV(RAND()))</f>
        <v/>
      </c>
    </row>
    <row r="9834">
      <c r="F9834">
        <f>F9833+1</f>
        <v/>
      </c>
      <c r="G9834" s="92">
        <f>EXP($C$12+$C$8*_xlfn.NORM.S.INV(RAND()))</f>
        <v/>
      </c>
    </row>
    <row r="9835">
      <c r="F9835">
        <f>F9834+1</f>
        <v/>
      </c>
      <c r="G9835" s="92">
        <f>EXP($C$12+$C$8*_xlfn.NORM.S.INV(RAND()))</f>
        <v/>
      </c>
    </row>
    <row r="9836">
      <c r="F9836">
        <f>F9835+1</f>
        <v/>
      </c>
      <c r="G9836" s="92">
        <f>EXP($C$12+$C$8*_xlfn.NORM.S.INV(RAND()))</f>
        <v/>
      </c>
    </row>
    <row r="9837">
      <c r="F9837">
        <f>F9836+1</f>
        <v/>
      </c>
      <c r="G9837" s="92">
        <f>EXP($C$12+$C$8*_xlfn.NORM.S.INV(RAND()))</f>
        <v/>
      </c>
    </row>
    <row r="9838">
      <c r="F9838">
        <f>F9837+1</f>
        <v/>
      </c>
      <c r="G9838" s="92">
        <f>EXP($C$12+$C$8*_xlfn.NORM.S.INV(RAND()))</f>
        <v/>
      </c>
    </row>
    <row r="9839">
      <c r="F9839">
        <f>F9838+1</f>
        <v/>
      </c>
      <c r="G9839" s="92">
        <f>EXP($C$12+$C$8*_xlfn.NORM.S.INV(RAND()))</f>
        <v/>
      </c>
    </row>
    <row r="9840">
      <c r="F9840">
        <f>F9839+1</f>
        <v/>
      </c>
      <c r="G9840" s="92">
        <f>EXP($C$12+$C$8*_xlfn.NORM.S.INV(RAND()))</f>
        <v/>
      </c>
    </row>
    <row r="9841">
      <c r="F9841">
        <f>F9840+1</f>
        <v/>
      </c>
      <c r="G9841" s="92">
        <f>EXP($C$12+$C$8*_xlfn.NORM.S.INV(RAND()))</f>
        <v/>
      </c>
    </row>
    <row r="9842">
      <c r="F9842">
        <f>F9841+1</f>
        <v/>
      </c>
      <c r="G9842" s="92">
        <f>EXP($C$12+$C$8*_xlfn.NORM.S.INV(RAND()))</f>
        <v/>
      </c>
    </row>
    <row r="9843">
      <c r="F9843">
        <f>F9842+1</f>
        <v/>
      </c>
      <c r="G9843" s="92">
        <f>EXP($C$12+$C$8*_xlfn.NORM.S.INV(RAND()))</f>
        <v/>
      </c>
    </row>
    <row r="9844">
      <c r="F9844">
        <f>F9843+1</f>
        <v/>
      </c>
      <c r="G9844" s="92">
        <f>EXP($C$12+$C$8*_xlfn.NORM.S.INV(RAND()))</f>
        <v/>
      </c>
    </row>
    <row r="9845">
      <c r="F9845">
        <f>F9844+1</f>
        <v/>
      </c>
      <c r="G9845" s="92">
        <f>EXP($C$12+$C$8*_xlfn.NORM.S.INV(RAND()))</f>
        <v/>
      </c>
    </row>
    <row r="9846">
      <c r="F9846">
        <f>F9845+1</f>
        <v/>
      </c>
      <c r="G9846" s="92">
        <f>EXP($C$12+$C$8*_xlfn.NORM.S.INV(RAND()))</f>
        <v/>
      </c>
    </row>
    <row r="9847">
      <c r="F9847">
        <f>F9846+1</f>
        <v/>
      </c>
      <c r="G9847" s="92">
        <f>EXP($C$12+$C$8*_xlfn.NORM.S.INV(RAND()))</f>
        <v/>
      </c>
    </row>
    <row r="9848">
      <c r="F9848">
        <f>F9847+1</f>
        <v/>
      </c>
      <c r="G9848" s="92">
        <f>EXP($C$12+$C$8*_xlfn.NORM.S.INV(RAND()))</f>
        <v/>
      </c>
    </row>
    <row r="9849">
      <c r="F9849">
        <f>F9848+1</f>
        <v/>
      </c>
      <c r="G9849" s="92">
        <f>EXP($C$12+$C$8*_xlfn.NORM.S.INV(RAND()))</f>
        <v/>
      </c>
    </row>
    <row r="9850">
      <c r="F9850">
        <f>F9849+1</f>
        <v/>
      </c>
      <c r="G9850" s="92">
        <f>EXP($C$12+$C$8*_xlfn.NORM.S.INV(RAND()))</f>
        <v/>
      </c>
    </row>
    <row r="9851">
      <c r="F9851">
        <f>F9850+1</f>
        <v/>
      </c>
      <c r="G9851" s="92">
        <f>EXP($C$12+$C$8*_xlfn.NORM.S.INV(RAND()))</f>
        <v/>
      </c>
    </row>
    <row r="9852">
      <c r="F9852">
        <f>F9851+1</f>
        <v/>
      </c>
      <c r="G9852" s="92">
        <f>EXP($C$12+$C$8*_xlfn.NORM.S.INV(RAND()))</f>
        <v/>
      </c>
    </row>
    <row r="9853">
      <c r="F9853">
        <f>F9852+1</f>
        <v/>
      </c>
      <c r="G9853" s="92">
        <f>EXP($C$12+$C$8*_xlfn.NORM.S.INV(RAND()))</f>
        <v/>
      </c>
    </row>
    <row r="9854">
      <c r="F9854">
        <f>F9853+1</f>
        <v/>
      </c>
      <c r="G9854" s="92">
        <f>EXP($C$12+$C$8*_xlfn.NORM.S.INV(RAND()))</f>
        <v/>
      </c>
    </row>
    <row r="9855">
      <c r="F9855">
        <f>F9854+1</f>
        <v/>
      </c>
      <c r="G9855" s="92">
        <f>EXP($C$12+$C$8*_xlfn.NORM.S.INV(RAND()))</f>
        <v/>
      </c>
    </row>
    <row r="9856">
      <c r="F9856">
        <f>F9855+1</f>
        <v/>
      </c>
      <c r="G9856" s="92">
        <f>EXP($C$12+$C$8*_xlfn.NORM.S.INV(RAND()))</f>
        <v/>
      </c>
    </row>
    <row r="9857">
      <c r="F9857">
        <f>F9856+1</f>
        <v/>
      </c>
      <c r="G9857" s="92">
        <f>EXP($C$12+$C$8*_xlfn.NORM.S.INV(RAND()))</f>
        <v/>
      </c>
    </row>
    <row r="9858">
      <c r="F9858">
        <f>F9857+1</f>
        <v/>
      </c>
      <c r="G9858" s="92">
        <f>EXP($C$12+$C$8*_xlfn.NORM.S.INV(RAND()))</f>
        <v/>
      </c>
    </row>
    <row r="9859">
      <c r="F9859">
        <f>F9858+1</f>
        <v/>
      </c>
      <c r="G9859" s="92">
        <f>EXP($C$12+$C$8*_xlfn.NORM.S.INV(RAND()))</f>
        <v/>
      </c>
    </row>
    <row r="9860">
      <c r="F9860">
        <f>F9859+1</f>
        <v/>
      </c>
      <c r="G9860" s="92">
        <f>EXP($C$12+$C$8*_xlfn.NORM.S.INV(RAND()))</f>
        <v/>
      </c>
    </row>
    <row r="9861">
      <c r="F9861">
        <f>F9860+1</f>
        <v/>
      </c>
      <c r="G9861" s="92">
        <f>EXP($C$12+$C$8*_xlfn.NORM.S.INV(RAND()))</f>
        <v/>
      </c>
    </row>
    <row r="9862">
      <c r="F9862">
        <f>F9861+1</f>
        <v/>
      </c>
      <c r="G9862" s="92">
        <f>EXP($C$12+$C$8*_xlfn.NORM.S.INV(RAND()))</f>
        <v/>
      </c>
    </row>
    <row r="9863">
      <c r="F9863">
        <f>F9862+1</f>
        <v/>
      </c>
      <c r="G9863" s="92">
        <f>EXP($C$12+$C$8*_xlfn.NORM.S.INV(RAND()))</f>
        <v/>
      </c>
    </row>
    <row r="9864">
      <c r="F9864">
        <f>F9863+1</f>
        <v/>
      </c>
      <c r="G9864" s="92">
        <f>EXP($C$12+$C$8*_xlfn.NORM.S.INV(RAND()))</f>
        <v/>
      </c>
    </row>
    <row r="9865">
      <c r="F9865">
        <f>F9864+1</f>
        <v/>
      </c>
      <c r="G9865" s="92">
        <f>EXP($C$12+$C$8*_xlfn.NORM.S.INV(RAND()))</f>
        <v/>
      </c>
    </row>
    <row r="9866">
      <c r="F9866">
        <f>F9865+1</f>
        <v/>
      </c>
      <c r="G9866" s="92">
        <f>EXP($C$12+$C$8*_xlfn.NORM.S.INV(RAND()))</f>
        <v/>
      </c>
    </row>
    <row r="9867">
      <c r="F9867">
        <f>F9866+1</f>
        <v/>
      </c>
      <c r="G9867" s="92">
        <f>EXP($C$12+$C$8*_xlfn.NORM.S.INV(RAND()))</f>
        <v/>
      </c>
    </row>
    <row r="9868">
      <c r="F9868">
        <f>F9867+1</f>
        <v/>
      </c>
      <c r="G9868" s="92">
        <f>EXP($C$12+$C$8*_xlfn.NORM.S.INV(RAND()))</f>
        <v/>
      </c>
    </row>
    <row r="9869">
      <c r="F9869">
        <f>F9868+1</f>
        <v/>
      </c>
      <c r="G9869" s="92">
        <f>EXP($C$12+$C$8*_xlfn.NORM.S.INV(RAND()))</f>
        <v/>
      </c>
    </row>
    <row r="9870">
      <c r="F9870">
        <f>F9869+1</f>
        <v/>
      </c>
      <c r="G9870" s="92">
        <f>EXP($C$12+$C$8*_xlfn.NORM.S.INV(RAND()))</f>
        <v/>
      </c>
    </row>
    <row r="9871">
      <c r="F9871">
        <f>F9870+1</f>
        <v/>
      </c>
      <c r="G9871" s="92">
        <f>EXP($C$12+$C$8*_xlfn.NORM.S.INV(RAND()))</f>
        <v/>
      </c>
    </row>
    <row r="9872">
      <c r="F9872">
        <f>F9871+1</f>
        <v/>
      </c>
      <c r="G9872" s="92">
        <f>EXP($C$12+$C$8*_xlfn.NORM.S.INV(RAND()))</f>
        <v/>
      </c>
    </row>
    <row r="9873">
      <c r="F9873">
        <f>F9872+1</f>
        <v/>
      </c>
      <c r="G9873" s="92">
        <f>EXP($C$12+$C$8*_xlfn.NORM.S.INV(RAND()))</f>
        <v/>
      </c>
    </row>
    <row r="9874">
      <c r="F9874">
        <f>F9873+1</f>
        <v/>
      </c>
      <c r="G9874" s="92">
        <f>EXP($C$12+$C$8*_xlfn.NORM.S.INV(RAND()))</f>
        <v/>
      </c>
    </row>
    <row r="9875">
      <c r="F9875">
        <f>F9874+1</f>
        <v/>
      </c>
      <c r="G9875" s="92">
        <f>EXP($C$12+$C$8*_xlfn.NORM.S.INV(RAND()))</f>
        <v/>
      </c>
    </row>
    <row r="9876">
      <c r="F9876">
        <f>F9875+1</f>
        <v/>
      </c>
      <c r="G9876" s="92">
        <f>EXP($C$12+$C$8*_xlfn.NORM.S.INV(RAND()))</f>
        <v/>
      </c>
    </row>
    <row r="9877">
      <c r="F9877">
        <f>F9876+1</f>
        <v/>
      </c>
      <c r="G9877" s="92">
        <f>EXP($C$12+$C$8*_xlfn.NORM.S.INV(RAND()))</f>
        <v/>
      </c>
    </row>
    <row r="9878">
      <c r="F9878">
        <f>F9877+1</f>
        <v/>
      </c>
      <c r="G9878" s="92">
        <f>EXP($C$12+$C$8*_xlfn.NORM.S.INV(RAND()))</f>
        <v/>
      </c>
    </row>
    <row r="9879">
      <c r="F9879">
        <f>F9878+1</f>
        <v/>
      </c>
      <c r="G9879" s="92">
        <f>EXP($C$12+$C$8*_xlfn.NORM.S.INV(RAND()))</f>
        <v/>
      </c>
    </row>
    <row r="9880">
      <c r="F9880">
        <f>F9879+1</f>
        <v/>
      </c>
      <c r="G9880" s="92">
        <f>EXP($C$12+$C$8*_xlfn.NORM.S.INV(RAND()))</f>
        <v/>
      </c>
    </row>
    <row r="9881">
      <c r="F9881">
        <f>F9880+1</f>
        <v/>
      </c>
      <c r="G9881" s="92">
        <f>EXP($C$12+$C$8*_xlfn.NORM.S.INV(RAND()))</f>
        <v/>
      </c>
    </row>
    <row r="9882">
      <c r="F9882">
        <f>F9881+1</f>
        <v/>
      </c>
      <c r="G9882" s="92">
        <f>EXP($C$12+$C$8*_xlfn.NORM.S.INV(RAND()))</f>
        <v/>
      </c>
    </row>
    <row r="9883">
      <c r="F9883">
        <f>F9882+1</f>
        <v/>
      </c>
      <c r="G9883" s="92">
        <f>EXP($C$12+$C$8*_xlfn.NORM.S.INV(RAND()))</f>
        <v/>
      </c>
    </row>
    <row r="9884">
      <c r="F9884">
        <f>F9883+1</f>
        <v/>
      </c>
      <c r="G9884" s="92">
        <f>EXP($C$12+$C$8*_xlfn.NORM.S.INV(RAND()))</f>
        <v/>
      </c>
    </row>
    <row r="9885">
      <c r="F9885">
        <f>F9884+1</f>
        <v/>
      </c>
      <c r="G9885" s="92">
        <f>EXP($C$12+$C$8*_xlfn.NORM.S.INV(RAND()))</f>
        <v/>
      </c>
    </row>
    <row r="9886">
      <c r="F9886">
        <f>F9885+1</f>
        <v/>
      </c>
      <c r="G9886" s="92">
        <f>EXP($C$12+$C$8*_xlfn.NORM.S.INV(RAND()))</f>
        <v/>
      </c>
    </row>
    <row r="9887">
      <c r="F9887">
        <f>F9886+1</f>
        <v/>
      </c>
      <c r="G9887" s="92">
        <f>EXP($C$12+$C$8*_xlfn.NORM.S.INV(RAND()))</f>
        <v/>
      </c>
    </row>
    <row r="9888">
      <c r="F9888">
        <f>F9887+1</f>
        <v/>
      </c>
      <c r="G9888" s="92">
        <f>EXP($C$12+$C$8*_xlfn.NORM.S.INV(RAND()))</f>
        <v/>
      </c>
    </row>
    <row r="9889">
      <c r="F9889">
        <f>F9888+1</f>
        <v/>
      </c>
      <c r="G9889" s="92">
        <f>EXP($C$12+$C$8*_xlfn.NORM.S.INV(RAND()))</f>
        <v/>
      </c>
    </row>
    <row r="9890">
      <c r="F9890">
        <f>F9889+1</f>
        <v/>
      </c>
      <c r="G9890" s="92">
        <f>EXP($C$12+$C$8*_xlfn.NORM.S.INV(RAND()))</f>
        <v/>
      </c>
    </row>
    <row r="9891">
      <c r="F9891">
        <f>F9890+1</f>
        <v/>
      </c>
      <c r="G9891" s="92">
        <f>EXP($C$12+$C$8*_xlfn.NORM.S.INV(RAND()))</f>
        <v/>
      </c>
    </row>
    <row r="9892">
      <c r="F9892">
        <f>F9891+1</f>
        <v/>
      </c>
      <c r="G9892" s="92">
        <f>EXP($C$12+$C$8*_xlfn.NORM.S.INV(RAND()))</f>
        <v/>
      </c>
    </row>
    <row r="9893">
      <c r="F9893">
        <f>F9892+1</f>
        <v/>
      </c>
      <c r="G9893" s="92">
        <f>EXP($C$12+$C$8*_xlfn.NORM.S.INV(RAND()))</f>
        <v/>
      </c>
    </row>
    <row r="9894">
      <c r="F9894">
        <f>F9893+1</f>
        <v/>
      </c>
      <c r="G9894" s="92">
        <f>EXP($C$12+$C$8*_xlfn.NORM.S.INV(RAND()))</f>
        <v/>
      </c>
    </row>
    <row r="9895">
      <c r="F9895">
        <f>F9894+1</f>
        <v/>
      </c>
      <c r="G9895" s="92">
        <f>EXP($C$12+$C$8*_xlfn.NORM.S.INV(RAND()))</f>
        <v/>
      </c>
    </row>
    <row r="9896">
      <c r="F9896">
        <f>F9895+1</f>
        <v/>
      </c>
      <c r="G9896" s="92">
        <f>EXP($C$12+$C$8*_xlfn.NORM.S.INV(RAND()))</f>
        <v/>
      </c>
    </row>
    <row r="9897">
      <c r="F9897">
        <f>F9896+1</f>
        <v/>
      </c>
      <c r="G9897" s="92">
        <f>EXP($C$12+$C$8*_xlfn.NORM.S.INV(RAND()))</f>
        <v/>
      </c>
    </row>
    <row r="9898">
      <c r="F9898">
        <f>F9897+1</f>
        <v/>
      </c>
      <c r="G9898" s="92">
        <f>EXP($C$12+$C$8*_xlfn.NORM.S.INV(RAND()))</f>
        <v/>
      </c>
    </row>
    <row r="9899">
      <c r="F9899">
        <f>F9898+1</f>
        <v/>
      </c>
      <c r="G9899" s="92">
        <f>EXP($C$12+$C$8*_xlfn.NORM.S.INV(RAND()))</f>
        <v/>
      </c>
    </row>
    <row r="9900">
      <c r="F9900">
        <f>F9899+1</f>
        <v/>
      </c>
      <c r="G9900" s="92">
        <f>EXP($C$12+$C$8*_xlfn.NORM.S.INV(RAND()))</f>
        <v/>
      </c>
    </row>
    <row r="9901">
      <c r="F9901">
        <f>F9900+1</f>
        <v/>
      </c>
      <c r="G9901" s="92">
        <f>EXP($C$12+$C$8*_xlfn.NORM.S.INV(RAND()))</f>
        <v/>
      </c>
    </row>
    <row r="9902">
      <c r="F9902">
        <f>F9901+1</f>
        <v/>
      </c>
      <c r="G9902" s="92">
        <f>EXP($C$12+$C$8*_xlfn.NORM.S.INV(RAND()))</f>
        <v/>
      </c>
    </row>
    <row r="9903">
      <c r="F9903">
        <f>F9902+1</f>
        <v/>
      </c>
      <c r="G9903" s="92">
        <f>EXP($C$12+$C$8*_xlfn.NORM.S.INV(RAND()))</f>
        <v/>
      </c>
    </row>
    <row r="9904">
      <c r="F9904">
        <f>F9903+1</f>
        <v/>
      </c>
      <c r="G9904" s="92">
        <f>EXP($C$12+$C$8*_xlfn.NORM.S.INV(RAND()))</f>
        <v/>
      </c>
    </row>
    <row r="9905">
      <c r="F9905">
        <f>F9904+1</f>
        <v/>
      </c>
      <c r="G9905" s="92">
        <f>EXP($C$12+$C$8*_xlfn.NORM.S.INV(RAND()))</f>
        <v/>
      </c>
    </row>
    <row r="9906">
      <c r="F9906">
        <f>F9905+1</f>
        <v/>
      </c>
      <c r="G9906" s="92">
        <f>EXP($C$12+$C$8*_xlfn.NORM.S.INV(RAND()))</f>
        <v/>
      </c>
    </row>
    <row r="9907">
      <c r="F9907">
        <f>F9906+1</f>
        <v/>
      </c>
      <c r="G9907" s="92">
        <f>EXP($C$12+$C$8*_xlfn.NORM.S.INV(RAND()))</f>
        <v/>
      </c>
    </row>
    <row r="9908">
      <c r="F9908">
        <f>F9907+1</f>
        <v/>
      </c>
      <c r="G9908" s="92">
        <f>EXP($C$12+$C$8*_xlfn.NORM.S.INV(RAND()))</f>
        <v/>
      </c>
    </row>
    <row r="9909">
      <c r="F9909">
        <f>F9908+1</f>
        <v/>
      </c>
      <c r="G9909" s="92">
        <f>EXP($C$12+$C$8*_xlfn.NORM.S.INV(RAND()))</f>
        <v/>
      </c>
    </row>
    <row r="9910">
      <c r="F9910">
        <f>F9909+1</f>
        <v/>
      </c>
      <c r="G9910" s="92">
        <f>EXP($C$12+$C$8*_xlfn.NORM.S.INV(RAND()))</f>
        <v/>
      </c>
    </row>
    <row r="9911">
      <c r="F9911">
        <f>F9910+1</f>
        <v/>
      </c>
      <c r="G9911" s="92">
        <f>EXP($C$12+$C$8*_xlfn.NORM.S.INV(RAND()))</f>
        <v/>
      </c>
    </row>
    <row r="9912">
      <c r="F9912">
        <f>F9911+1</f>
        <v/>
      </c>
      <c r="G9912" s="92">
        <f>EXP($C$12+$C$8*_xlfn.NORM.S.INV(RAND()))</f>
        <v/>
      </c>
    </row>
    <row r="9913">
      <c r="F9913">
        <f>F9912+1</f>
        <v/>
      </c>
      <c r="G9913" s="92">
        <f>EXP($C$12+$C$8*_xlfn.NORM.S.INV(RAND()))</f>
        <v/>
      </c>
    </row>
    <row r="9914">
      <c r="F9914">
        <f>F9913+1</f>
        <v/>
      </c>
      <c r="G9914" s="92">
        <f>EXP($C$12+$C$8*_xlfn.NORM.S.INV(RAND()))</f>
        <v/>
      </c>
    </row>
    <row r="9915">
      <c r="F9915">
        <f>F9914+1</f>
        <v/>
      </c>
      <c r="G9915" s="92">
        <f>EXP($C$12+$C$8*_xlfn.NORM.S.INV(RAND()))</f>
        <v/>
      </c>
    </row>
    <row r="9916">
      <c r="F9916">
        <f>F9915+1</f>
        <v/>
      </c>
      <c r="G9916" s="92">
        <f>EXP($C$12+$C$8*_xlfn.NORM.S.INV(RAND()))</f>
        <v/>
      </c>
    </row>
    <row r="9917">
      <c r="F9917">
        <f>F9916+1</f>
        <v/>
      </c>
      <c r="G9917" s="92">
        <f>EXP($C$12+$C$8*_xlfn.NORM.S.INV(RAND()))</f>
        <v/>
      </c>
    </row>
    <row r="9918">
      <c r="F9918">
        <f>F9917+1</f>
        <v/>
      </c>
      <c r="G9918" s="92">
        <f>EXP($C$12+$C$8*_xlfn.NORM.S.INV(RAND()))</f>
        <v/>
      </c>
    </row>
    <row r="9919">
      <c r="F9919">
        <f>F9918+1</f>
        <v/>
      </c>
      <c r="G9919" s="92">
        <f>EXP($C$12+$C$8*_xlfn.NORM.S.INV(RAND()))</f>
        <v/>
      </c>
    </row>
    <row r="9920">
      <c r="F9920">
        <f>F9919+1</f>
        <v/>
      </c>
      <c r="G9920" s="92">
        <f>EXP($C$12+$C$8*_xlfn.NORM.S.INV(RAND()))</f>
        <v/>
      </c>
    </row>
    <row r="9921">
      <c r="F9921">
        <f>F9920+1</f>
        <v/>
      </c>
      <c r="G9921" s="92">
        <f>EXP($C$12+$C$8*_xlfn.NORM.S.INV(RAND()))</f>
        <v/>
      </c>
    </row>
    <row r="9922">
      <c r="F9922">
        <f>F9921+1</f>
        <v/>
      </c>
      <c r="G9922" s="92">
        <f>EXP($C$12+$C$8*_xlfn.NORM.S.INV(RAND()))</f>
        <v/>
      </c>
    </row>
    <row r="9923">
      <c r="F9923">
        <f>F9922+1</f>
        <v/>
      </c>
      <c r="G9923" s="92">
        <f>EXP($C$12+$C$8*_xlfn.NORM.S.INV(RAND()))</f>
        <v/>
      </c>
    </row>
    <row r="9924">
      <c r="F9924">
        <f>F9923+1</f>
        <v/>
      </c>
      <c r="G9924" s="92">
        <f>EXP($C$12+$C$8*_xlfn.NORM.S.INV(RAND()))</f>
        <v/>
      </c>
    </row>
    <row r="9925">
      <c r="F9925">
        <f>F9924+1</f>
        <v/>
      </c>
      <c r="G9925" s="92">
        <f>EXP($C$12+$C$8*_xlfn.NORM.S.INV(RAND()))</f>
        <v/>
      </c>
    </row>
    <row r="9926">
      <c r="F9926">
        <f>F9925+1</f>
        <v/>
      </c>
      <c r="G9926" s="92">
        <f>EXP($C$12+$C$8*_xlfn.NORM.S.INV(RAND()))</f>
        <v/>
      </c>
    </row>
    <row r="9927">
      <c r="F9927">
        <f>F9926+1</f>
        <v/>
      </c>
      <c r="G9927" s="92">
        <f>EXP($C$12+$C$8*_xlfn.NORM.S.INV(RAND()))</f>
        <v/>
      </c>
    </row>
    <row r="9928">
      <c r="F9928">
        <f>F9927+1</f>
        <v/>
      </c>
      <c r="G9928" s="92">
        <f>EXP($C$12+$C$8*_xlfn.NORM.S.INV(RAND()))</f>
        <v/>
      </c>
    </row>
    <row r="9929">
      <c r="F9929">
        <f>F9928+1</f>
        <v/>
      </c>
      <c r="G9929" s="92">
        <f>EXP($C$12+$C$8*_xlfn.NORM.S.INV(RAND()))</f>
        <v/>
      </c>
    </row>
    <row r="9930">
      <c r="F9930">
        <f>F9929+1</f>
        <v/>
      </c>
      <c r="G9930" s="92">
        <f>EXP($C$12+$C$8*_xlfn.NORM.S.INV(RAND()))</f>
        <v/>
      </c>
    </row>
    <row r="9931">
      <c r="F9931">
        <f>F9930+1</f>
        <v/>
      </c>
      <c r="G9931" s="92">
        <f>EXP($C$12+$C$8*_xlfn.NORM.S.INV(RAND()))</f>
        <v/>
      </c>
    </row>
    <row r="9932">
      <c r="F9932">
        <f>F9931+1</f>
        <v/>
      </c>
      <c r="G9932" s="92">
        <f>EXP($C$12+$C$8*_xlfn.NORM.S.INV(RAND()))</f>
        <v/>
      </c>
    </row>
    <row r="9933">
      <c r="F9933">
        <f>F9932+1</f>
        <v/>
      </c>
      <c r="G9933" s="92">
        <f>EXP($C$12+$C$8*_xlfn.NORM.S.INV(RAND()))</f>
        <v/>
      </c>
    </row>
    <row r="9934">
      <c r="F9934">
        <f>F9933+1</f>
        <v/>
      </c>
      <c r="G9934" s="92">
        <f>EXP($C$12+$C$8*_xlfn.NORM.S.INV(RAND()))</f>
        <v/>
      </c>
    </row>
    <row r="9935">
      <c r="F9935">
        <f>F9934+1</f>
        <v/>
      </c>
      <c r="G9935" s="92">
        <f>EXP($C$12+$C$8*_xlfn.NORM.S.INV(RAND()))</f>
        <v/>
      </c>
    </row>
    <row r="9936">
      <c r="F9936">
        <f>F9935+1</f>
        <v/>
      </c>
      <c r="G9936" s="92">
        <f>EXP($C$12+$C$8*_xlfn.NORM.S.INV(RAND()))</f>
        <v/>
      </c>
    </row>
    <row r="9937">
      <c r="F9937">
        <f>F9936+1</f>
        <v/>
      </c>
      <c r="G9937" s="92">
        <f>EXP($C$12+$C$8*_xlfn.NORM.S.INV(RAND()))</f>
        <v/>
      </c>
    </row>
    <row r="9938">
      <c r="F9938">
        <f>F9937+1</f>
        <v/>
      </c>
      <c r="G9938" s="92">
        <f>EXP($C$12+$C$8*_xlfn.NORM.S.INV(RAND()))</f>
        <v/>
      </c>
    </row>
    <row r="9939">
      <c r="F9939">
        <f>F9938+1</f>
        <v/>
      </c>
      <c r="G9939" s="92">
        <f>EXP($C$12+$C$8*_xlfn.NORM.S.INV(RAND()))</f>
        <v/>
      </c>
    </row>
    <row r="9940">
      <c r="F9940">
        <f>F9939+1</f>
        <v/>
      </c>
      <c r="G9940" s="92">
        <f>EXP($C$12+$C$8*_xlfn.NORM.S.INV(RAND()))</f>
        <v/>
      </c>
    </row>
    <row r="9941">
      <c r="F9941">
        <f>F9940+1</f>
        <v/>
      </c>
      <c r="G9941" s="92">
        <f>EXP($C$12+$C$8*_xlfn.NORM.S.INV(RAND()))</f>
        <v/>
      </c>
    </row>
    <row r="9942">
      <c r="F9942">
        <f>F9941+1</f>
        <v/>
      </c>
      <c r="G9942" s="92">
        <f>EXP($C$12+$C$8*_xlfn.NORM.S.INV(RAND()))</f>
        <v/>
      </c>
    </row>
    <row r="9943">
      <c r="F9943">
        <f>F9942+1</f>
        <v/>
      </c>
      <c r="G9943" s="92">
        <f>EXP($C$12+$C$8*_xlfn.NORM.S.INV(RAND()))</f>
        <v/>
      </c>
    </row>
    <row r="9944">
      <c r="F9944">
        <f>F9943+1</f>
        <v/>
      </c>
      <c r="G9944" s="92">
        <f>EXP($C$12+$C$8*_xlfn.NORM.S.INV(RAND()))</f>
        <v/>
      </c>
    </row>
    <row r="9945">
      <c r="F9945">
        <f>F9944+1</f>
        <v/>
      </c>
      <c r="G9945" s="92">
        <f>EXP($C$12+$C$8*_xlfn.NORM.S.INV(RAND()))</f>
        <v/>
      </c>
    </row>
    <row r="9946">
      <c r="F9946">
        <f>F9945+1</f>
        <v/>
      </c>
      <c r="G9946" s="92">
        <f>EXP($C$12+$C$8*_xlfn.NORM.S.INV(RAND()))</f>
        <v/>
      </c>
    </row>
    <row r="9947">
      <c r="F9947">
        <f>F9946+1</f>
        <v/>
      </c>
      <c r="G9947" s="92">
        <f>EXP($C$12+$C$8*_xlfn.NORM.S.INV(RAND()))</f>
        <v/>
      </c>
    </row>
    <row r="9948">
      <c r="F9948">
        <f>F9947+1</f>
        <v/>
      </c>
      <c r="G9948" s="92">
        <f>EXP($C$12+$C$8*_xlfn.NORM.S.INV(RAND()))</f>
        <v/>
      </c>
    </row>
    <row r="9949">
      <c r="F9949">
        <f>F9948+1</f>
        <v/>
      </c>
      <c r="G9949" s="92">
        <f>EXP($C$12+$C$8*_xlfn.NORM.S.INV(RAND()))</f>
        <v/>
      </c>
    </row>
    <row r="9950">
      <c r="F9950">
        <f>F9949+1</f>
        <v/>
      </c>
      <c r="G9950" s="92">
        <f>EXP($C$12+$C$8*_xlfn.NORM.S.INV(RAND()))</f>
        <v/>
      </c>
    </row>
    <row r="9951">
      <c r="F9951">
        <f>F9950+1</f>
        <v/>
      </c>
      <c r="G9951" s="92">
        <f>EXP($C$12+$C$8*_xlfn.NORM.S.INV(RAND()))</f>
        <v/>
      </c>
    </row>
    <row r="9952">
      <c r="F9952">
        <f>F9951+1</f>
        <v/>
      </c>
      <c r="G9952" s="92">
        <f>EXP($C$12+$C$8*_xlfn.NORM.S.INV(RAND()))</f>
        <v/>
      </c>
    </row>
    <row r="9953">
      <c r="F9953">
        <f>F9952+1</f>
        <v/>
      </c>
      <c r="G9953" s="92">
        <f>EXP($C$12+$C$8*_xlfn.NORM.S.INV(RAND()))</f>
        <v/>
      </c>
    </row>
    <row r="9954">
      <c r="F9954">
        <f>F9953+1</f>
        <v/>
      </c>
      <c r="G9954" s="92">
        <f>EXP($C$12+$C$8*_xlfn.NORM.S.INV(RAND()))</f>
        <v/>
      </c>
    </row>
    <row r="9955">
      <c r="F9955">
        <f>F9954+1</f>
        <v/>
      </c>
      <c r="G9955" s="92">
        <f>EXP($C$12+$C$8*_xlfn.NORM.S.INV(RAND()))</f>
        <v/>
      </c>
    </row>
    <row r="9956">
      <c r="F9956">
        <f>F9955+1</f>
        <v/>
      </c>
      <c r="G9956" s="92">
        <f>EXP($C$12+$C$8*_xlfn.NORM.S.INV(RAND()))</f>
        <v/>
      </c>
    </row>
    <row r="9957">
      <c r="F9957">
        <f>F9956+1</f>
        <v/>
      </c>
      <c r="G9957" s="92">
        <f>EXP($C$12+$C$8*_xlfn.NORM.S.INV(RAND()))</f>
        <v/>
      </c>
    </row>
    <row r="9958">
      <c r="F9958">
        <f>F9957+1</f>
        <v/>
      </c>
      <c r="G9958" s="92">
        <f>EXP($C$12+$C$8*_xlfn.NORM.S.INV(RAND()))</f>
        <v/>
      </c>
    </row>
    <row r="9959">
      <c r="F9959">
        <f>F9958+1</f>
        <v/>
      </c>
      <c r="G9959" s="92">
        <f>EXP($C$12+$C$8*_xlfn.NORM.S.INV(RAND()))</f>
        <v/>
      </c>
    </row>
    <row r="9960">
      <c r="F9960">
        <f>F9959+1</f>
        <v/>
      </c>
      <c r="G9960" s="92">
        <f>EXP($C$12+$C$8*_xlfn.NORM.S.INV(RAND()))</f>
        <v/>
      </c>
    </row>
    <row r="9961">
      <c r="F9961">
        <f>F9960+1</f>
        <v/>
      </c>
      <c r="G9961" s="92">
        <f>EXP($C$12+$C$8*_xlfn.NORM.S.INV(RAND()))</f>
        <v/>
      </c>
    </row>
    <row r="9962">
      <c r="F9962">
        <f>F9961+1</f>
        <v/>
      </c>
      <c r="G9962" s="92">
        <f>EXP($C$12+$C$8*_xlfn.NORM.S.INV(RAND()))</f>
        <v/>
      </c>
    </row>
    <row r="9963">
      <c r="F9963">
        <f>F9962+1</f>
        <v/>
      </c>
      <c r="G9963" s="92">
        <f>EXP($C$12+$C$8*_xlfn.NORM.S.INV(RAND()))</f>
        <v/>
      </c>
    </row>
    <row r="9964">
      <c r="F9964">
        <f>F9963+1</f>
        <v/>
      </c>
      <c r="G9964" s="92">
        <f>EXP($C$12+$C$8*_xlfn.NORM.S.INV(RAND()))</f>
        <v/>
      </c>
    </row>
    <row r="9965">
      <c r="F9965">
        <f>F9964+1</f>
        <v/>
      </c>
      <c r="G9965" s="92">
        <f>EXP($C$12+$C$8*_xlfn.NORM.S.INV(RAND()))</f>
        <v/>
      </c>
    </row>
    <row r="9966">
      <c r="F9966">
        <f>F9965+1</f>
        <v/>
      </c>
      <c r="G9966" s="92">
        <f>EXP($C$12+$C$8*_xlfn.NORM.S.INV(RAND()))</f>
        <v/>
      </c>
    </row>
    <row r="9967">
      <c r="F9967">
        <f>F9966+1</f>
        <v/>
      </c>
      <c r="G9967" s="92">
        <f>EXP($C$12+$C$8*_xlfn.NORM.S.INV(RAND()))</f>
        <v/>
      </c>
    </row>
    <row r="9968">
      <c r="F9968">
        <f>F9967+1</f>
        <v/>
      </c>
      <c r="G9968" s="92">
        <f>EXP($C$12+$C$8*_xlfn.NORM.S.INV(RAND()))</f>
        <v/>
      </c>
    </row>
    <row r="9969">
      <c r="F9969">
        <f>F9968+1</f>
        <v/>
      </c>
      <c r="G9969" s="92">
        <f>EXP($C$12+$C$8*_xlfn.NORM.S.INV(RAND()))</f>
        <v/>
      </c>
    </row>
    <row r="9970">
      <c r="F9970">
        <f>F9969+1</f>
        <v/>
      </c>
      <c r="G9970" s="92">
        <f>EXP($C$12+$C$8*_xlfn.NORM.S.INV(RAND()))</f>
        <v/>
      </c>
    </row>
    <row r="9971">
      <c r="F9971">
        <f>F9970+1</f>
        <v/>
      </c>
      <c r="G9971" s="92">
        <f>EXP($C$12+$C$8*_xlfn.NORM.S.INV(RAND()))</f>
        <v/>
      </c>
    </row>
    <row r="9972">
      <c r="F9972">
        <f>F9971+1</f>
        <v/>
      </c>
      <c r="G9972" s="92">
        <f>EXP($C$12+$C$8*_xlfn.NORM.S.INV(RAND()))</f>
        <v/>
      </c>
    </row>
    <row r="9973">
      <c r="F9973">
        <f>F9972+1</f>
        <v/>
      </c>
      <c r="G9973" s="92">
        <f>EXP($C$12+$C$8*_xlfn.NORM.S.INV(RAND()))</f>
        <v/>
      </c>
    </row>
    <row r="9974">
      <c r="F9974">
        <f>F9973+1</f>
        <v/>
      </c>
      <c r="G9974" s="92">
        <f>EXP($C$12+$C$8*_xlfn.NORM.S.INV(RAND()))</f>
        <v/>
      </c>
    </row>
    <row r="9975">
      <c r="F9975">
        <f>F9974+1</f>
        <v/>
      </c>
      <c r="G9975" s="92">
        <f>EXP($C$12+$C$8*_xlfn.NORM.S.INV(RAND()))</f>
        <v/>
      </c>
    </row>
    <row r="9976">
      <c r="F9976">
        <f>F9975+1</f>
        <v/>
      </c>
      <c r="G9976" s="92">
        <f>EXP($C$12+$C$8*_xlfn.NORM.S.INV(RAND()))</f>
        <v/>
      </c>
    </row>
    <row r="9977">
      <c r="F9977">
        <f>F9976+1</f>
        <v/>
      </c>
      <c r="G9977" s="92">
        <f>EXP($C$12+$C$8*_xlfn.NORM.S.INV(RAND()))</f>
        <v/>
      </c>
    </row>
    <row r="9978">
      <c r="F9978">
        <f>F9977+1</f>
        <v/>
      </c>
      <c r="G9978" s="92">
        <f>EXP($C$12+$C$8*_xlfn.NORM.S.INV(RAND()))</f>
        <v/>
      </c>
    </row>
    <row r="9979">
      <c r="F9979">
        <f>F9978+1</f>
        <v/>
      </c>
      <c r="G9979" s="92">
        <f>EXP($C$12+$C$8*_xlfn.NORM.S.INV(RAND()))</f>
        <v/>
      </c>
    </row>
    <row r="9980">
      <c r="F9980">
        <f>F9979+1</f>
        <v/>
      </c>
      <c r="G9980" s="92">
        <f>EXP($C$12+$C$8*_xlfn.NORM.S.INV(RAND()))</f>
        <v/>
      </c>
    </row>
    <row r="9981">
      <c r="F9981">
        <f>F9980+1</f>
        <v/>
      </c>
      <c r="G9981" s="92">
        <f>EXP($C$12+$C$8*_xlfn.NORM.S.INV(RAND()))</f>
        <v/>
      </c>
    </row>
    <row r="9982">
      <c r="F9982">
        <f>F9981+1</f>
        <v/>
      </c>
      <c r="G9982" s="92">
        <f>EXP($C$12+$C$8*_xlfn.NORM.S.INV(RAND()))</f>
        <v/>
      </c>
    </row>
    <row r="9983">
      <c r="F9983">
        <f>F9982+1</f>
        <v/>
      </c>
      <c r="G9983" s="92">
        <f>EXP($C$12+$C$8*_xlfn.NORM.S.INV(RAND()))</f>
        <v/>
      </c>
    </row>
    <row r="9984">
      <c r="F9984">
        <f>F9983+1</f>
        <v/>
      </c>
      <c r="G9984" s="92">
        <f>EXP($C$12+$C$8*_xlfn.NORM.S.INV(RAND()))</f>
        <v/>
      </c>
    </row>
    <row r="9985">
      <c r="F9985">
        <f>F9984+1</f>
        <v/>
      </c>
      <c r="G9985" s="92">
        <f>EXP($C$12+$C$8*_xlfn.NORM.S.INV(RAND()))</f>
        <v/>
      </c>
    </row>
    <row r="9986">
      <c r="F9986">
        <f>F9985+1</f>
        <v/>
      </c>
      <c r="G9986" s="92">
        <f>EXP($C$12+$C$8*_xlfn.NORM.S.INV(RAND()))</f>
        <v/>
      </c>
    </row>
    <row r="9987">
      <c r="F9987">
        <f>F9986+1</f>
        <v/>
      </c>
      <c r="G9987" s="92">
        <f>EXP($C$12+$C$8*_xlfn.NORM.S.INV(RAND()))</f>
        <v/>
      </c>
    </row>
    <row r="9988">
      <c r="F9988">
        <f>F9987+1</f>
        <v/>
      </c>
      <c r="G9988" s="92">
        <f>EXP($C$12+$C$8*_xlfn.NORM.S.INV(RAND()))</f>
        <v/>
      </c>
    </row>
    <row r="9989">
      <c r="F9989">
        <f>F9988+1</f>
        <v/>
      </c>
      <c r="G9989" s="92">
        <f>EXP($C$12+$C$8*_xlfn.NORM.S.INV(RAND()))</f>
        <v/>
      </c>
    </row>
    <row r="9990">
      <c r="F9990">
        <f>F9989+1</f>
        <v/>
      </c>
      <c r="G9990" s="92">
        <f>EXP($C$12+$C$8*_xlfn.NORM.S.INV(RAND()))</f>
        <v/>
      </c>
    </row>
    <row r="9991">
      <c r="F9991">
        <f>F9990+1</f>
        <v/>
      </c>
      <c r="G9991" s="92">
        <f>EXP($C$12+$C$8*_xlfn.NORM.S.INV(RAND()))</f>
        <v/>
      </c>
    </row>
    <row r="9992">
      <c r="F9992">
        <f>F9991+1</f>
        <v/>
      </c>
      <c r="G9992" s="92">
        <f>EXP($C$12+$C$8*_xlfn.NORM.S.INV(RAND()))</f>
        <v/>
      </c>
    </row>
    <row r="9993">
      <c r="F9993">
        <f>F9992+1</f>
        <v/>
      </c>
      <c r="G9993" s="92">
        <f>EXP($C$12+$C$8*_xlfn.NORM.S.INV(RAND()))</f>
        <v/>
      </c>
    </row>
    <row r="9994">
      <c r="F9994">
        <f>F9993+1</f>
        <v/>
      </c>
      <c r="G9994" s="92">
        <f>EXP($C$12+$C$8*_xlfn.NORM.S.INV(RAND()))</f>
        <v/>
      </c>
    </row>
    <row r="9995">
      <c r="F9995">
        <f>F9994+1</f>
        <v/>
      </c>
      <c r="G9995" s="92">
        <f>EXP($C$12+$C$8*_xlfn.NORM.S.INV(RAND()))</f>
        <v/>
      </c>
    </row>
    <row r="9996">
      <c r="F9996">
        <f>F9995+1</f>
        <v/>
      </c>
      <c r="G9996" s="92">
        <f>EXP($C$12+$C$8*_xlfn.NORM.S.INV(RAND()))</f>
        <v/>
      </c>
    </row>
    <row r="9997">
      <c r="F9997">
        <f>F9996+1</f>
        <v/>
      </c>
      <c r="G9997" s="92">
        <f>EXP($C$12+$C$8*_xlfn.NORM.S.INV(RAND()))</f>
        <v/>
      </c>
    </row>
    <row r="9998">
      <c r="F9998">
        <f>F9997+1</f>
        <v/>
      </c>
      <c r="G9998" s="92">
        <f>EXP($C$12+$C$8*_xlfn.NORM.S.INV(RAND()))</f>
        <v/>
      </c>
    </row>
    <row r="9999">
      <c r="F9999">
        <f>F9998+1</f>
        <v/>
      </c>
      <c r="G9999" s="92">
        <f>EXP($C$12+$C$8*_xlfn.NORM.S.INV(RAND()))</f>
        <v/>
      </c>
    </row>
    <row r="10000">
      <c r="F10000">
        <f>F9999+1</f>
        <v/>
      </c>
      <c r="G10000" s="92">
        <f>EXP($C$12+$C$8*_xlfn.NORM.S.INV(RAND()))</f>
        <v/>
      </c>
    </row>
    <row r="10001">
      <c r="F10001">
        <f>F10000+1</f>
        <v/>
      </c>
      <c r="G10001" s="92">
        <f>EXP($C$12+$C$8*_xlfn.NORM.S.INV(RAND()))</f>
        <v/>
      </c>
    </row>
    <row r="10002">
      <c r="F10002">
        <f>F10001+1</f>
        <v/>
      </c>
      <c r="G10002" s="92">
        <f>EXP($C$12+$C$8*_xlfn.NORM.S.INV(RAND()))</f>
        <v/>
      </c>
    </row>
    <row r="10003">
      <c r="F10003">
        <f>F10002+1</f>
        <v/>
      </c>
      <c r="G10003" s="92">
        <f>EXP($C$12+$C$8*_xlfn.NORM.S.INV(RAND()))</f>
        <v/>
      </c>
    </row>
    <row r="10004">
      <c r="F10004">
        <f>F10003+1</f>
        <v/>
      </c>
      <c r="G10004" s="92">
        <f>EXP($C$12+$C$8*_xlfn.NORM.S.INV(RAND()))</f>
        <v/>
      </c>
    </row>
    <row r="10005">
      <c r="F10005">
        <f>F10004+1</f>
        <v/>
      </c>
      <c r="G10005" s="92">
        <f>EXP($C$12+$C$8*_xlfn.NORM.S.INV(RAND()))</f>
        <v/>
      </c>
    </row>
    <row r="10006">
      <c r="F10006">
        <f>F10005+1</f>
        <v/>
      </c>
      <c r="G10006" s="92">
        <f>EXP($C$12+$C$8*_xlfn.NORM.S.INV(RAND()))</f>
        <v/>
      </c>
    </row>
  </sheetData>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H28"/>
  <sheetViews>
    <sheetView topLeftCell="B1" workbookViewId="0">
      <selection activeCell="G13" sqref="G13"/>
    </sheetView>
  </sheetViews>
  <sheetFormatPr baseColWidth="10" defaultRowHeight="16"/>
  <cols>
    <col width="2.6640625" customWidth="1" min="1" max="1"/>
    <col width="40" customWidth="1" min="2" max="2"/>
    <col width="21.6640625" customWidth="1" min="3" max="3"/>
    <col width="41.6640625" customWidth="1" min="4" max="4"/>
    <col width="32.6640625" bestFit="1" customWidth="1" min="6" max="6"/>
    <col width="12.1640625" bestFit="1" customWidth="1" min="7" max="7"/>
  </cols>
  <sheetData>
    <row r="2" ht="22" customHeight="1">
      <c r="B2" s="31" t="inlineStr">
        <is>
          <t>Resilience Investment ROI</t>
        </is>
      </c>
    </row>
    <row r="3">
      <c r="B3" s="32" t="inlineStr">
        <is>
          <t>Flood mitigation cost vs avoided expected annual loss (benefit-cost analysis)</t>
        </is>
      </c>
    </row>
    <row r="5">
      <c r="B5" s="21" t="inlineStr">
        <is>
          <t>A. Mitigation Inputs</t>
        </is>
      </c>
      <c r="C5" s="33" t="n"/>
      <c r="D5" s="33" t="n"/>
      <c r="F5" s="21" t="inlineStr">
        <is>
          <t>C. With vs Without Mitigation (annual)</t>
        </is>
      </c>
      <c r="G5" s="33" t="n"/>
      <c r="H5" s="33" t="n"/>
    </row>
    <row r="6">
      <c r="B6" s="46" t="inlineStr">
        <is>
          <t>Active RCP Scenario (from Inputs)</t>
        </is>
      </c>
      <c r="C6" s="35">
        <f>Inputs!C12</f>
        <v/>
      </c>
      <c r="F6" s="61" t="inlineStr">
        <is>
          <t>Item</t>
        </is>
      </c>
      <c r="G6" s="61" t="inlineStr">
        <is>
          <t>Without</t>
        </is>
      </c>
      <c r="H6" s="61" t="inlineStr">
        <is>
          <t>With</t>
        </is>
      </c>
    </row>
    <row r="7">
      <c r="B7" s="46" t="inlineStr">
        <is>
          <t>Baseline Climate-Adjusted EAL ($/yr)</t>
        </is>
      </c>
      <c r="C7" s="86">
        <f>IF(C6="RCP 8.5",'EAL Calculation'!D31,'EAL Calculation'!C31)</f>
        <v/>
      </c>
      <c r="D7" s="47" t="inlineStr">
        <is>
          <t>Active scenario, from EAL Calculation</t>
        </is>
      </c>
      <c r="F7" s="46" t="inlineStr">
        <is>
          <t>Expected Annual Loss</t>
        </is>
      </c>
      <c r="G7">
        <f>C7</f>
        <v/>
      </c>
      <c r="H7" s="92">
        <f>C7-C15</f>
        <v/>
      </c>
    </row>
    <row r="8">
      <c r="B8" s="46" t="inlineStr">
        <is>
          <t>Mitigation Capital Cost ($)</t>
        </is>
      </c>
      <c r="C8" s="99" t="n">
        <v>15000000</v>
      </c>
      <c r="D8" s="47" t="inlineStr">
        <is>
          <t>ASSUMED placeholder. Replace with measure-specific cost</t>
        </is>
      </c>
      <c r="F8" s="46" t="inlineStr">
        <is>
          <t>Annual Maintenance</t>
        </is>
      </c>
      <c r="G8">
        <f>0</f>
        <v/>
      </c>
      <c r="H8">
        <f>C10</f>
        <v/>
      </c>
    </row>
    <row r="9">
      <c r="B9" s="46" t="inlineStr">
        <is>
          <t>Loss Reduction (%)</t>
        </is>
      </c>
      <c r="C9" s="73" t="n">
        <v>0.65</v>
      </c>
      <c r="D9" s="47" t="inlineStr">
        <is>
          <t>ASSUMED. Effectiveness of the measure</t>
        </is>
      </c>
      <c r="F9" s="46" t="inlineStr">
        <is>
          <t>Total Annual Cost</t>
        </is>
      </c>
      <c r="G9">
        <f>G7+G8</f>
        <v/>
      </c>
      <c r="H9" s="92">
        <f>H7+H8</f>
        <v/>
      </c>
    </row>
    <row r="10">
      <c r="B10" s="46" t="inlineStr">
        <is>
          <t>Annual Maintenance Cost ($/yr)</t>
        </is>
      </c>
      <c r="C10" s="99" t="n">
        <v>150000</v>
      </c>
      <c r="D10" s="47" t="inlineStr">
        <is>
          <t>ASSUMED. Upkeep of the measure</t>
        </is>
      </c>
    </row>
    <row r="11">
      <c r="B11" s="46" t="inlineStr">
        <is>
          <t>Discount Rate</t>
        </is>
      </c>
      <c r="C11" s="100" t="n">
        <v>0.08</v>
      </c>
      <c r="F11" s="21" t="inlineStr">
        <is>
          <t>D. Break-Even (to reach BCR = 1)</t>
        </is>
      </c>
      <c r="G11" s="33" t="n"/>
      <c r="H11" s="33" t="n"/>
    </row>
    <row r="12">
      <c r="B12" s="46" t="inlineStr">
        <is>
          <t>Analysis Period (years)</t>
        </is>
      </c>
      <c r="C12" s="77" t="n">
        <v>30</v>
      </c>
      <c r="F12" s="46" t="inlineStr">
        <is>
          <t>Annuity factor (PV of $1/yr)</t>
        </is>
      </c>
      <c r="G12" s="80">
        <f>PV($C$11,$C$12,-1)</f>
        <v/>
      </c>
    </row>
    <row r="13">
      <c r="F13" s="46" t="inlineStr">
        <is>
          <t>Max justifiable mitigation cost</t>
        </is>
      </c>
      <c r="G13" s="92">
        <f>$C$16*$G$12</f>
        <v/>
      </c>
    </row>
    <row r="14">
      <c r="B14" s="21" t="inlineStr">
        <is>
          <t>B. Benefit-Cost Results</t>
        </is>
      </c>
      <c r="C14" s="33" t="n"/>
      <c r="D14" s="33" t="n"/>
      <c r="F14" s="46" t="inlineStr">
        <is>
          <t>Min baseline EAL needed (this cost)</t>
        </is>
      </c>
      <c r="G14" s="101">
        <f>(($C$8/$G$12)+$C$10)/$C$9</f>
        <v/>
      </c>
    </row>
    <row r="15">
      <c r="B15" s="46" t="inlineStr">
        <is>
          <t>Avoided Loss ($/yr)</t>
        </is>
      </c>
      <c r="C15" s="92">
        <f>C7*C9</f>
        <v/>
      </c>
      <c r="F15" s="46" t="inlineStr">
        <is>
          <t>Implied site exposure factor</t>
        </is>
      </c>
      <c r="G15" s="102">
        <f>$G$14/$C$7</f>
        <v/>
      </c>
    </row>
    <row r="16">
      <c r="B16" s="46" t="inlineStr">
        <is>
          <t>Net Annual Benefit ($/yr)</t>
        </is>
      </c>
      <c r="C16" s="92">
        <f>C15-C10</f>
        <v/>
      </c>
    </row>
    <row r="17">
      <c r="B17" s="46" t="inlineStr">
        <is>
          <t>Simple Payback (years)</t>
        </is>
      </c>
      <c r="C17" s="103">
        <f>IF(C16&gt;0,C8/C16,"n/a")</f>
        <v/>
      </c>
    </row>
    <row r="18">
      <c r="B18" s="46" t="inlineStr">
        <is>
          <t>PV of Net Benefits</t>
        </is>
      </c>
      <c r="C18" s="92">
        <f>PV(C11,C12,-C16)</f>
        <v/>
      </c>
    </row>
    <row r="19">
      <c r="B19" s="46" t="inlineStr">
        <is>
          <t>Mitigation Capital Cost</t>
        </is>
      </c>
      <c r="C19" s="92">
        <f>C8</f>
        <v/>
      </c>
    </row>
    <row r="20">
      <c r="B20" s="46" t="inlineStr">
        <is>
          <t>Net Present Value (NPV)</t>
        </is>
      </c>
      <c r="C20" s="96">
        <f>C18-C19</f>
        <v/>
      </c>
    </row>
    <row r="21">
      <c r="B21" s="46" t="inlineStr">
        <is>
          <t>Benefit-Cost Ratio (BCR)</t>
        </is>
      </c>
      <c r="C21" s="104">
        <f>C18/C19</f>
        <v/>
      </c>
    </row>
    <row r="22">
      <c r="B22" s="46" t="inlineStr">
        <is>
          <t>Decision</t>
        </is>
      </c>
      <c r="C22" s="79">
        <f>IF(C20&gt;0,"Invest (NPV positive, BCR &gt; 1)","Do not invest (NPV negative)")</f>
        <v/>
      </c>
    </row>
    <row r="24">
      <c r="B24" s="46" t="inlineStr">
        <is>
          <t>Method notes</t>
        </is>
      </c>
    </row>
    <row r="25" ht="42" customHeight="1">
      <c r="B25" s="71" t="inlineStr">
        <is>
          <t>1. Benefit = avoided EAL (baseline climate-adjusted EAL x loss reduction %). Costs = upfront capital + annual maintenance. Standard FEMA benefit-cost framing.</t>
        </is>
      </c>
    </row>
    <row r="26" ht="42" customHeight="1">
      <c r="B26" s="71" t="inlineStr">
        <is>
          <t>2. NPV discounts the net annual benefit over the analysis period; BCR = PV of benefits / capital cost. Invest if NPV &gt; 0 (BCR &gt; 1).</t>
        </is>
      </c>
    </row>
    <row r="27" ht="42" customHeight="1">
      <c r="B27" s="71" t="inlineStr">
        <is>
          <t>3. Mitigation cost, loss reduction %, and maintenance are ASSUMED placeholders (blue), not measure- or site-specific. They drive the entire result.</t>
        </is>
      </c>
    </row>
    <row r="28" ht="56" customHeight="1">
      <c r="B28" s="71" t="inlineStr">
        <is>
          <t>4. Break-even block shows the baseline EAL (and implied site exposure factor vs parish average) required for the investment to clear. Use it to test whether the plant's true exposure justifies mitigation.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4"/>
  <sheetViews>
    <sheetView workbookViewId="0">
      <selection activeCell="C11" sqref="C11"/>
    </sheetView>
  </sheetViews>
  <sheetFormatPr baseColWidth="10" defaultRowHeight="16"/>
  <cols>
    <col width="15" customWidth="1" min="1" max="1"/>
    <col width="18.33203125" customWidth="1" min="2" max="2"/>
  </cols>
  <sheetData>
    <row r="1">
      <c r="A1" s="53" t="inlineStr">
        <is>
          <t>Depth-Percent Damage Relationships (Direct Damage)</t>
        </is>
      </c>
      <c r="C1" s="51" t="n"/>
      <c r="D1" s="51" t="n"/>
      <c r="E1" s="51" t="n"/>
      <c r="F1" s="50" t="n"/>
      <c r="G1" s="50" t="n"/>
      <c r="H1" s="50" t="n"/>
      <c r="I1" s="50" t="n"/>
    </row>
    <row r="2" ht="16" customHeight="1">
      <c r="A2" s="54" t="inlineStr">
        <is>
          <t>Depth (feet)</t>
        </is>
      </c>
      <c r="B2" s="54" t="inlineStr">
        <is>
          <t>Percent Damage</t>
        </is>
      </c>
    </row>
    <row r="3">
      <c r="A3" s="55" t="n">
        <v>0</v>
      </c>
      <c r="B3" s="105" t="n">
        <v>0</v>
      </c>
    </row>
    <row r="4">
      <c r="A4" s="55" t="n">
        <v>1</v>
      </c>
      <c r="B4" s="105" t="n">
        <v>32</v>
      </c>
    </row>
    <row r="5">
      <c r="A5" s="55" t="n">
        <v>2</v>
      </c>
      <c r="B5" s="105" t="n">
        <v>38.7</v>
      </c>
    </row>
    <row r="6">
      <c r="A6" s="55" t="n">
        <v>3</v>
      </c>
      <c r="B6" s="105" t="n">
        <v>45.5</v>
      </c>
    </row>
    <row r="7">
      <c r="A7" s="55" t="n">
        <v>4</v>
      </c>
      <c r="B7" s="105" t="n">
        <v>52.2</v>
      </c>
    </row>
    <row r="8">
      <c r="A8" s="55" t="n">
        <v>5</v>
      </c>
      <c r="B8" s="105" t="n">
        <v>58.6</v>
      </c>
    </row>
    <row r="9">
      <c r="A9" s="55" t="n">
        <v>6</v>
      </c>
      <c r="B9" s="105" t="n">
        <v>64.5</v>
      </c>
    </row>
    <row r="10">
      <c r="A10" s="55" t="n">
        <v>7</v>
      </c>
      <c r="B10" s="105" t="n">
        <v>69.8</v>
      </c>
    </row>
    <row r="11">
      <c r="A11" s="55" t="n">
        <v>8</v>
      </c>
      <c r="B11" s="105" t="n">
        <v>74.2</v>
      </c>
    </row>
    <row r="12">
      <c r="A12" s="55" t="n">
        <v>9</v>
      </c>
      <c r="B12" s="105" t="n">
        <v>77.7</v>
      </c>
    </row>
    <row r="14">
      <c r="A14" s="47" t="inlineStr">
        <is>
          <t>Source: USACE generic depth-percent damage curve (structure, direct damage). Percent values expressed 0-100; divide by 100 when applied.</t>
        </is>
      </c>
    </row>
  </sheetData>
  <mergeCells count="1">
    <mergeCell ref="A1:B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55"/>
  <sheetViews>
    <sheetView workbookViewId="0">
      <pane ySplit="1" topLeftCell="A35" activePane="bottomLeft" state="frozen"/>
      <selection pane="bottomLeft" activeCell="F63" sqref="F63"/>
    </sheetView>
  </sheetViews>
  <sheetFormatPr baseColWidth="10" defaultRowHeight="16"/>
  <cols>
    <col width="10.1640625" bestFit="1" customWidth="1" min="1" max="1"/>
    <col width="36.5" bestFit="1" customWidth="1" min="2" max="2"/>
    <col width="15.83203125" bestFit="1" customWidth="1" min="3" max="3"/>
    <col width="13.83203125" bestFit="1" customWidth="1" min="4" max="4"/>
    <col width="15" bestFit="1" customWidth="1" min="5" max="5"/>
    <col width="12.5" bestFit="1" customWidth="1" min="6" max="6"/>
  </cols>
  <sheetData>
    <row r="1">
      <c r="A1" s="21" t="inlineStr">
        <is>
          <t>Plant Code</t>
        </is>
      </c>
      <c r="B1" s="21" t="inlineStr">
        <is>
          <t>Plant Name</t>
        </is>
      </c>
      <c r="C1" s="21" t="inlineStr">
        <is>
          <t>Parish</t>
        </is>
      </c>
      <c r="D1" s="21" t="inlineStr">
        <is>
          <t>Nameplate MW</t>
        </is>
      </c>
      <c r="E1" s="21" t="inlineStr">
        <is>
          <t>Generating Units</t>
        </is>
      </c>
      <c r="F1" s="21" t="inlineStr">
        <is>
          <t>Prime Movers</t>
        </is>
      </c>
    </row>
    <row r="2">
      <c r="A2" s="23" t="n">
        <v>1403</v>
      </c>
      <c r="B2" t="inlineStr">
        <is>
          <t>Nine Mile Point</t>
        </is>
      </c>
      <c r="C2" t="inlineStr">
        <is>
          <t>Jefferson</t>
        </is>
      </c>
      <c r="D2" s="106" t="n">
        <v>2439.7</v>
      </c>
      <c r="E2" t="n">
        <v>5</v>
      </c>
      <c r="F2" t="inlineStr">
        <is>
          <t>CA,CT,ST</t>
        </is>
      </c>
    </row>
    <row r="3">
      <c r="A3" s="23" t="n">
        <v>55173</v>
      </c>
      <c r="B3" t="inlineStr">
        <is>
          <t>Acadia Energy Center</t>
        </is>
      </c>
      <c r="C3" t="inlineStr">
        <is>
          <t>Acadia</t>
        </is>
      </c>
      <c r="D3" s="106" t="n">
        <v>1389.2</v>
      </c>
      <c r="E3" t="n">
        <v>6</v>
      </c>
      <c r="F3" t="inlineStr">
        <is>
          <t>CA,CT</t>
        </is>
      </c>
    </row>
    <row r="4">
      <c r="A4" s="23" t="n">
        <v>55419</v>
      </c>
      <c r="B4" t="inlineStr">
        <is>
          <t>Plaquemine Cogeneration Plant</t>
        </is>
      </c>
      <c r="C4" t="inlineStr">
        <is>
          <t>Iberville</t>
        </is>
      </c>
      <c r="D4" s="106" t="n">
        <v>1084.8</v>
      </c>
      <c r="E4" t="n">
        <v>7</v>
      </c>
      <c r="F4" t="inlineStr">
        <is>
          <t>CA,CT</t>
        </is>
      </c>
    </row>
    <row r="5">
      <c r="A5" s="23" t="n">
        <v>1402</v>
      </c>
      <c r="B5" t="inlineStr">
        <is>
          <t>Little Gypsy</t>
        </is>
      </c>
      <c r="C5" t="inlineStr">
        <is>
          <t>St Charles</t>
        </is>
      </c>
      <c r="D5" s="106" t="n">
        <v>1002.9</v>
      </c>
      <c r="E5" t="n">
        <v>2</v>
      </c>
      <c r="F5" t="inlineStr">
        <is>
          <t>ST</t>
        </is>
      </c>
    </row>
    <row r="6">
      <c r="A6" s="23" t="n">
        <v>60926</v>
      </c>
      <c r="B6" t="inlineStr">
        <is>
          <t>St. Charles Power Station (LA)</t>
        </is>
      </c>
      <c r="C6" t="inlineStr">
        <is>
          <t>St Charles</t>
        </is>
      </c>
      <c r="D6" s="106" t="n">
        <v>1000</v>
      </c>
      <c r="E6" t="n">
        <v>3</v>
      </c>
      <c r="F6" t="inlineStr">
        <is>
          <t>CA,CT</t>
        </is>
      </c>
    </row>
    <row r="7">
      <c r="A7" s="23" t="n">
        <v>60927</v>
      </c>
      <c r="B7" t="inlineStr">
        <is>
          <t>Lake Charles Power</t>
        </is>
      </c>
      <c r="C7" t="inlineStr">
        <is>
          <t>Calcasieu</t>
        </is>
      </c>
      <c r="D7" s="106" t="n">
        <v>1000</v>
      </c>
      <c r="E7" t="n">
        <v>3</v>
      </c>
      <c r="F7" t="inlineStr">
        <is>
          <t>CA,CT</t>
        </is>
      </c>
    </row>
    <row r="8">
      <c r="A8" s="23" t="n">
        <v>1396</v>
      </c>
      <c r="B8" t="inlineStr">
        <is>
          <t>Coughlin Power Station</t>
        </is>
      </c>
      <c r="C8" t="inlineStr">
        <is>
          <t>Evangeline</t>
        </is>
      </c>
      <c r="D8" s="106" t="n">
        <v>922.8</v>
      </c>
      <c r="E8" t="n">
        <v>5</v>
      </c>
      <c r="F8" t="inlineStr">
        <is>
          <t>CA,CT</t>
        </is>
      </c>
    </row>
    <row r="9">
      <c r="A9" s="23" t="n">
        <v>55467</v>
      </c>
      <c r="B9" t="inlineStr">
        <is>
          <t>Ouachita</t>
        </is>
      </c>
      <c r="C9" t="inlineStr">
        <is>
          <t>Ouachita</t>
        </is>
      </c>
      <c r="D9" s="106" t="n">
        <v>903.9</v>
      </c>
      <c r="E9" t="n">
        <v>6</v>
      </c>
      <c r="F9" t="inlineStr">
        <is>
          <t>CA,CT</t>
        </is>
      </c>
    </row>
    <row r="10">
      <c r="A10" s="23" t="n">
        <v>55089</v>
      </c>
      <c r="B10" t="inlineStr">
        <is>
          <t>Taft Cogeneration Facility</t>
        </is>
      </c>
      <c r="C10" t="inlineStr">
        <is>
          <t>St Charles</t>
        </is>
      </c>
      <c r="D10" s="106" t="n">
        <v>894.2</v>
      </c>
      <c r="E10" t="n">
        <v>4</v>
      </c>
      <c r="F10" t="inlineStr">
        <is>
          <t>CA,CT</t>
        </is>
      </c>
    </row>
    <row r="11">
      <c r="A11" s="23" t="n">
        <v>55620</v>
      </c>
      <c r="B11" t="inlineStr">
        <is>
          <t>Perryville Power Station</t>
        </is>
      </c>
      <c r="C11" t="inlineStr">
        <is>
          <t>Ouachita</t>
        </is>
      </c>
      <c r="D11" s="106" t="n">
        <v>824.1</v>
      </c>
      <c r="E11" t="n">
        <v>4</v>
      </c>
      <c r="F11" t="inlineStr">
        <is>
          <t>CA,CT,GT</t>
        </is>
      </c>
    </row>
    <row r="12">
      <c r="A12" s="23" t="n">
        <v>6055</v>
      </c>
      <c r="B12" t="inlineStr">
        <is>
          <t>Big Cajun 2</t>
        </is>
      </c>
      <c r="C12" t="inlineStr">
        <is>
          <t>Pointe Coupee</t>
        </is>
      </c>
      <c r="D12" s="106" t="n">
        <v>626</v>
      </c>
      <c r="E12" t="n">
        <v>1</v>
      </c>
      <c r="F12" t="inlineStr">
        <is>
          <t>ST</t>
        </is>
      </c>
    </row>
    <row r="13">
      <c r="A13" s="23" t="n">
        <v>56565</v>
      </c>
      <c r="B13" t="inlineStr">
        <is>
          <t>J Lamar Stall Unit</t>
        </is>
      </c>
      <c r="C13" t="inlineStr">
        <is>
          <t>Caddo</t>
        </is>
      </c>
      <c r="D13" s="106" t="n">
        <v>624</v>
      </c>
      <c r="E13" t="n">
        <v>3</v>
      </c>
      <c r="F13" t="inlineStr">
        <is>
          <t>CA,CT</t>
        </is>
      </c>
    </row>
    <row r="14">
      <c r="A14" s="23" t="n">
        <v>1393</v>
      </c>
      <c r="B14" t="inlineStr">
        <is>
          <t>R S Nelson</t>
        </is>
      </c>
      <c r="C14" t="inlineStr">
        <is>
          <t>Calcasieu</t>
        </is>
      </c>
      <c r="D14" s="106" t="n">
        <v>591.8</v>
      </c>
      <c r="E14" t="n">
        <v>1</v>
      </c>
      <c r="F14" t="inlineStr">
        <is>
          <t>ST</t>
        </is>
      </c>
    </row>
    <row r="15">
      <c r="A15" s="23" t="n">
        <v>55404</v>
      </c>
      <c r="B15" t="inlineStr">
        <is>
          <t>Carville Energy LLC</t>
        </is>
      </c>
      <c r="C15" t="inlineStr">
        <is>
          <t>Iberville</t>
        </is>
      </c>
      <c r="D15" s="106" t="n">
        <v>555</v>
      </c>
      <c r="E15" t="n">
        <v>3</v>
      </c>
      <c r="F15" t="inlineStr">
        <is>
          <t>CA,CT</t>
        </is>
      </c>
    </row>
    <row r="16">
      <c r="A16" s="23" t="n">
        <v>55117</v>
      </c>
      <c r="B16" t="inlineStr">
        <is>
          <t>RS Cogen</t>
        </is>
      </c>
      <c r="C16" t="inlineStr">
        <is>
          <t>Calcasieu</t>
        </is>
      </c>
      <c r="D16" s="106" t="n">
        <v>493</v>
      </c>
      <c r="E16" t="n">
        <v>3</v>
      </c>
      <c r="F16" t="inlineStr">
        <is>
          <t>CA,CT</t>
        </is>
      </c>
    </row>
    <row r="17">
      <c r="A17" s="23" t="n">
        <v>1464</v>
      </c>
      <c r="B17" t="inlineStr">
        <is>
          <t>Big Cajun 1</t>
        </is>
      </c>
      <c r="C17" t="inlineStr">
        <is>
          <t>Pointe Coupee</t>
        </is>
      </c>
      <c r="D17" s="106" t="n">
        <v>492.8</v>
      </c>
      <c r="E17" t="n">
        <v>4</v>
      </c>
      <c r="F17" t="inlineStr">
        <is>
          <t>GT,ST</t>
        </is>
      </c>
    </row>
    <row r="18">
      <c r="A18" s="23" t="n">
        <v>8056</v>
      </c>
      <c r="B18" t="inlineStr">
        <is>
          <t>Waterford 1 &amp; 2</t>
        </is>
      </c>
      <c r="C18" t="inlineStr">
        <is>
          <t>St Charles</t>
        </is>
      </c>
      <c r="D18" s="106" t="n">
        <v>445.5</v>
      </c>
      <c r="E18" t="n">
        <v>1</v>
      </c>
      <c r="F18" t="inlineStr">
        <is>
          <t>ST</t>
        </is>
      </c>
    </row>
    <row r="19">
      <c r="A19" s="23" t="n">
        <v>6190</v>
      </c>
      <c r="B19" t="inlineStr">
        <is>
          <t>Brame Energy Center</t>
        </is>
      </c>
      <c r="C19" t="inlineStr">
        <is>
          <t>Rapides</t>
        </is>
      </c>
      <c r="D19" s="106" t="n">
        <v>445.5</v>
      </c>
      <c r="E19" t="n">
        <v>1</v>
      </c>
      <c r="F19" t="inlineStr">
        <is>
          <t>ST</t>
        </is>
      </c>
    </row>
    <row r="20">
      <c r="A20" s="23" t="n">
        <v>55433</v>
      </c>
      <c r="B20" t="inlineStr">
        <is>
          <t>Bayou Cove Peaking Power</t>
        </is>
      </c>
      <c r="C20" t="inlineStr">
        <is>
          <t>Acadia</t>
        </is>
      </c>
      <c r="D20" s="106" t="n">
        <v>416</v>
      </c>
      <c r="E20" t="n">
        <v>4</v>
      </c>
      <c r="F20" t="inlineStr">
        <is>
          <t>GT</t>
        </is>
      </c>
    </row>
    <row r="21">
      <c r="A21" s="23" t="n">
        <v>55486</v>
      </c>
      <c r="B21" t="inlineStr">
        <is>
          <t>Washington Parish Energy Center</t>
        </is>
      </c>
      <c r="C21" t="inlineStr">
        <is>
          <t>Washington</t>
        </is>
      </c>
      <c r="D21" s="106" t="n">
        <v>399.6</v>
      </c>
      <c r="E21" t="n">
        <v>2</v>
      </c>
      <c r="F21" t="inlineStr">
        <is>
          <t>GT</t>
        </is>
      </c>
    </row>
    <row r="22">
      <c r="A22" s="23" t="n">
        <v>55165</v>
      </c>
      <c r="B22" t="inlineStr">
        <is>
          <t>Calcasieu</t>
        </is>
      </c>
      <c r="C22" t="inlineStr">
        <is>
          <t>Calcasieu</t>
        </is>
      </c>
      <c r="D22" s="106" t="n">
        <v>358.8</v>
      </c>
      <c r="E22" t="n">
        <v>2</v>
      </c>
      <c r="F22" t="inlineStr">
        <is>
          <t>GT</t>
        </is>
      </c>
    </row>
    <row r="23">
      <c r="A23" s="23" t="n">
        <v>50489</v>
      </c>
      <c r="B23" t="inlineStr">
        <is>
          <t>PPG Powerhouse C</t>
        </is>
      </c>
      <c r="C23" t="inlineStr">
        <is>
          <t>Calcasieu</t>
        </is>
      </c>
      <c r="D23" s="106" t="n">
        <v>357.7</v>
      </c>
      <c r="E23" t="n">
        <v>5</v>
      </c>
      <c r="F23" t="inlineStr">
        <is>
          <t>GT,ST</t>
        </is>
      </c>
    </row>
    <row r="24">
      <c r="A24" s="23" t="n">
        <v>50152</v>
      </c>
      <c r="B24" t="inlineStr">
        <is>
          <t>Dow St Charles Operations</t>
        </is>
      </c>
      <c r="C24" t="inlineStr">
        <is>
          <t>St Charles</t>
        </is>
      </c>
      <c r="D24" s="106" t="n">
        <v>323.6</v>
      </c>
      <c r="E24" t="n">
        <v>4</v>
      </c>
      <c r="F24" t="inlineStr">
        <is>
          <t>CA,CT</t>
        </is>
      </c>
    </row>
    <row r="25">
      <c r="A25" s="23" t="n">
        <v>55051</v>
      </c>
      <c r="B25" t="inlineStr">
        <is>
          <t>Westlake Plaquemine</t>
        </is>
      </c>
      <c r="C25" t="inlineStr">
        <is>
          <t>Iberville</t>
        </is>
      </c>
      <c r="D25" s="106" t="n">
        <v>306</v>
      </c>
      <c r="E25" t="n">
        <v>3</v>
      </c>
      <c r="F25" t="inlineStr">
        <is>
          <t>GT</t>
        </is>
      </c>
    </row>
    <row r="26">
      <c r="A26" s="23" t="n">
        <v>1391</v>
      </c>
      <c r="B26" t="inlineStr">
        <is>
          <t>Louisiana 1</t>
        </is>
      </c>
      <c r="C26" t="inlineStr">
        <is>
          <t>East Baton Rouge</t>
        </is>
      </c>
      <c r="D26" s="106" t="n">
        <v>302.4</v>
      </c>
      <c r="E26" t="n">
        <v>2</v>
      </c>
      <c r="F26" t="inlineStr">
        <is>
          <t>GT</t>
        </is>
      </c>
    </row>
    <row r="27">
      <c r="A27" s="23" t="n">
        <v>1417</v>
      </c>
      <c r="B27" t="inlineStr">
        <is>
          <t>Lieberman</t>
        </is>
      </c>
      <c r="C27" t="inlineStr">
        <is>
          <t>Caddo</t>
        </is>
      </c>
      <c r="D27" s="106" t="n">
        <v>228</v>
      </c>
      <c r="E27" t="n">
        <v>2</v>
      </c>
      <c r="F27" t="inlineStr">
        <is>
          <t>ST</t>
        </is>
      </c>
    </row>
    <row r="28">
      <c r="A28" s="23" t="n">
        <v>1392</v>
      </c>
      <c r="B28" t="inlineStr">
        <is>
          <t>Louisiana 2</t>
        </is>
      </c>
      <c r="C28" t="inlineStr">
        <is>
          <t>East Baton Rouge</t>
        </is>
      </c>
      <c r="D28" s="106" t="n">
        <v>175</v>
      </c>
      <c r="E28" t="n">
        <v>3</v>
      </c>
      <c r="F28" t="inlineStr">
        <is>
          <t>ST</t>
        </is>
      </c>
    </row>
    <row r="29">
      <c r="A29" s="23" t="n">
        <v>60928</v>
      </c>
      <c r="B29" t="inlineStr">
        <is>
          <t>New Orleans Power</t>
        </is>
      </c>
      <c r="C29" t="inlineStr">
        <is>
          <t>Orleans</t>
        </is>
      </c>
      <c r="D29" s="106" t="n">
        <v>131.6</v>
      </c>
      <c r="E29" t="n">
        <v>7</v>
      </c>
      <c r="F29" t="inlineStr">
        <is>
          <t>IC</t>
        </is>
      </c>
    </row>
    <row r="30">
      <c r="A30" s="23" t="n">
        <v>1416</v>
      </c>
      <c r="B30" t="inlineStr">
        <is>
          <t>Arsenal Hill</t>
        </is>
      </c>
      <c r="C30" t="inlineStr">
        <is>
          <t>Caddo</t>
        </is>
      </c>
      <c r="D30" s="106" t="n">
        <v>125</v>
      </c>
      <c r="E30" t="n">
        <v>1</v>
      </c>
      <c r="F30" t="inlineStr">
        <is>
          <t>ST</t>
        </is>
      </c>
    </row>
    <row r="31">
      <c r="A31" s="23" t="n">
        <v>56108</v>
      </c>
      <c r="B31" t="inlineStr">
        <is>
          <t>T J Labbe Electric Generating</t>
        </is>
      </c>
      <c r="C31" t="inlineStr">
        <is>
          <t>Lafayette</t>
        </is>
      </c>
      <c r="D31" s="106" t="n">
        <v>100.8</v>
      </c>
      <c r="E31" t="n">
        <v>2</v>
      </c>
      <c r="F31" t="inlineStr">
        <is>
          <t>GT</t>
        </is>
      </c>
    </row>
    <row r="32">
      <c r="A32" s="23" t="n">
        <v>54518</v>
      </c>
      <c r="B32" t="inlineStr">
        <is>
          <t>Formosa Plastics</t>
        </is>
      </c>
      <c r="C32" t="inlineStr">
        <is>
          <t>East Baton Rouge</t>
        </is>
      </c>
      <c r="D32" s="106" t="n">
        <v>100.8</v>
      </c>
      <c r="E32" t="n">
        <v>4</v>
      </c>
      <c r="F32" t="inlineStr">
        <is>
          <t>GT,ST</t>
        </is>
      </c>
    </row>
    <row r="33">
      <c r="A33" s="23" t="n">
        <v>56283</v>
      </c>
      <c r="B33" t="inlineStr">
        <is>
          <t>Hargis-Hebert Electric Generating</t>
        </is>
      </c>
      <c r="C33" t="inlineStr">
        <is>
          <t>Lafayette</t>
        </is>
      </c>
      <c r="D33" s="106" t="n">
        <v>100.8</v>
      </c>
      <c r="E33" t="n">
        <v>2</v>
      </c>
      <c r="F33" t="inlineStr">
        <is>
          <t>GT</t>
        </is>
      </c>
    </row>
    <row r="34">
      <c r="A34" s="23" t="n">
        <v>10690</v>
      </c>
      <c r="B34" t="inlineStr">
        <is>
          <t>ExxonMobil Baton Rouge Turbine Generator</t>
        </is>
      </c>
      <c r="C34" t="inlineStr">
        <is>
          <t>East Baton Rouge</t>
        </is>
      </c>
      <c r="D34" s="106" t="n">
        <v>85.3</v>
      </c>
      <c r="E34" t="n">
        <v>1</v>
      </c>
      <c r="F34" t="inlineStr">
        <is>
          <t>GT</t>
        </is>
      </c>
    </row>
    <row r="35">
      <c r="A35" s="23" t="n">
        <v>50846</v>
      </c>
      <c r="B35" t="inlineStr">
        <is>
          <t>Atlantic Alumina, Gramercy Operations</t>
        </is>
      </c>
      <c r="C35" t="inlineStr">
        <is>
          <t>St James</t>
        </is>
      </c>
      <c r="D35" s="106" t="n">
        <v>85.3</v>
      </c>
      <c r="E35" t="n">
        <v>5</v>
      </c>
      <c r="F35" t="inlineStr">
        <is>
          <t>GT,ST</t>
        </is>
      </c>
    </row>
    <row r="36">
      <c r="A36" s="23" t="n">
        <v>10319</v>
      </c>
      <c r="B36" t="inlineStr">
        <is>
          <t>Geismar</t>
        </is>
      </c>
      <c r="C36" t="inlineStr">
        <is>
          <t>Ascension</t>
        </is>
      </c>
      <c r="D36" s="106" t="n">
        <v>84.09999999999999</v>
      </c>
      <c r="E36" t="n">
        <v>3</v>
      </c>
      <c r="F36" t="inlineStr">
        <is>
          <t>GT,ST</t>
        </is>
      </c>
    </row>
    <row r="37">
      <c r="A37" s="23" t="n">
        <v>56787</v>
      </c>
      <c r="B37" t="inlineStr">
        <is>
          <t>Geismar Cogen</t>
        </is>
      </c>
      <c r="C37" t="inlineStr">
        <is>
          <t>Ascension</t>
        </is>
      </c>
      <c r="D37" s="106" t="n">
        <v>83.90000000000001</v>
      </c>
      <c r="E37" t="n">
        <v>1</v>
      </c>
      <c r="F37" t="inlineStr">
        <is>
          <t>GT</t>
        </is>
      </c>
    </row>
    <row r="38">
      <c r="A38" s="23" t="n">
        <v>56248</v>
      </c>
      <c r="B38" t="inlineStr">
        <is>
          <t>Shell Chemical</t>
        </is>
      </c>
      <c r="C38" t="inlineStr">
        <is>
          <t>Ascension</t>
        </is>
      </c>
      <c r="D38" s="106" t="n">
        <v>80</v>
      </c>
      <c r="E38" t="n">
        <v>2</v>
      </c>
      <c r="F38" t="inlineStr">
        <is>
          <t>GT</t>
        </is>
      </c>
    </row>
    <row r="39">
      <c r="A39" s="23" t="n">
        <v>1439</v>
      </c>
      <c r="B39" t="inlineStr">
        <is>
          <t>Houma</t>
        </is>
      </c>
      <c r="C39" t="inlineStr">
        <is>
          <t>Terrebonne</t>
        </is>
      </c>
      <c r="D39" s="106" t="n">
        <v>78.90000000000001</v>
      </c>
      <c r="E39" t="n">
        <v>3</v>
      </c>
      <c r="F39" t="inlineStr">
        <is>
          <t>ST</t>
        </is>
      </c>
    </row>
    <row r="40">
      <c r="A40" s="23" t="n">
        <v>58478</v>
      </c>
      <c r="B40" t="inlineStr">
        <is>
          <t>LEPA Unit No. 1</t>
        </is>
      </c>
      <c r="C40" t="inlineStr">
        <is>
          <t>St Mary</t>
        </is>
      </c>
      <c r="D40" s="106" t="n">
        <v>74.09999999999999</v>
      </c>
      <c r="E40" t="n">
        <v>2</v>
      </c>
      <c r="F40" t="inlineStr">
        <is>
          <t>CA,CT</t>
        </is>
      </c>
    </row>
    <row r="41">
      <c r="A41" s="23" t="n">
        <v>6558</v>
      </c>
      <c r="B41" t="inlineStr">
        <is>
          <t>D G Hunter</t>
        </is>
      </c>
      <c r="C41" t="inlineStr">
        <is>
          <t>Rapides</t>
        </is>
      </c>
      <c r="D41" s="106" t="n">
        <v>65.09999999999999</v>
      </c>
      <c r="E41" t="n">
        <v>7</v>
      </c>
      <c r="F41" t="inlineStr">
        <is>
          <t>IC</t>
        </is>
      </c>
    </row>
    <row r="42">
      <c r="A42" s="23" t="n">
        <v>54091</v>
      </c>
      <c r="B42" t="inlineStr">
        <is>
          <t>Mansfield Mill</t>
        </is>
      </c>
      <c r="C42" t="inlineStr">
        <is>
          <t>DeSoto</t>
        </is>
      </c>
      <c r="D42" s="106" t="n">
        <v>62</v>
      </c>
      <c r="E42" t="n">
        <v>1</v>
      </c>
      <c r="F42" t="inlineStr">
        <is>
          <t>GT</t>
        </is>
      </c>
    </row>
    <row r="43">
      <c r="A43" s="23" t="n">
        <v>1404</v>
      </c>
      <c r="B43" t="inlineStr">
        <is>
          <t>Sterlington</t>
        </is>
      </c>
      <c r="C43" t="inlineStr">
        <is>
          <t>Ouachita</t>
        </is>
      </c>
      <c r="D43" s="106" t="n">
        <v>59.3</v>
      </c>
      <c r="E43" t="n">
        <v>1</v>
      </c>
      <c r="F43" t="inlineStr">
        <is>
          <t>GT</t>
        </is>
      </c>
    </row>
    <row r="44">
      <c r="A44" s="23" t="n">
        <v>1400</v>
      </c>
      <c r="B44" t="inlineStr">
        <is>
          <t>Teche</t>
        </is>
      </c>
      <c r="C44" t="inlineStr">
        <is>
          <t>St Mary</t>
        </is>
      </c>
      <c r="D44" s="106" t="n">
        <v>42.2</v>
      </c>
      <c r="E44" t="n">
        <v>1</v>
      </c>
      <c r="F44" t="inlineStr">
        <is>
          <t>GT</t>
        </is>
      </c>
    </row>
    <row r="45">
      <c r="A45" s="23" t="n">
        <v>50028</v>
      </c>
      <c r="B45" t="inlineStr">
        <is>
          <t>Plant 31 Paper Mill</t>
        </is>
      </c>
      <c r="C45" t="inlineStr">
        <is>
          <t>Ouachita</t>
        </is>
      </c>
      <c r="D45" s="106" t="n">
        <v>39.2</v>
      </c>
      <c r="E45" t="n">
        <v>1</v>
      </c>
      <c r="F45" t="inlineStr">
        <is>
          <t>GT</t>
        </is>
      </c>
    </row>
    <row r="46">
      <c r="A46" s="23" t="n">
        <v>57884</v>
      </c>
      <c r="B46" t="inlineStr">
        <is>
          <t>Lake Charles Polymers</t>
        </is>
      </c>
      <c r="C46" t="inlineStr">
        <is>
          <t>Calcasieu</t>
        </is>
      </c>
      <c r="D46" s="106" t="n">
        <v>31.1</v>
      </c>
      <c r="E46" t="n">
        <v>3</v>
      </c>
      <c r="F46" t="inlineStr">
        <is>
          <t>GT,IC</t>
        </is>
      </c>
    </row>
    <row r="47">
      <c r="A47" s="23" t="n">
        <v>55857</v>
      </c>
      <c r="B47" t="inlineStr">
        <is>
          <t>Oak Point Cogen</t>
        </is>
      </c>
      <c r="C47" t="inlineStr">
        <is>
          <t>Plaquemines</t>
        </is>
      </c>
      <c r="D47" s="106" t="n">
        <v>23.5</v>
      </c>
      <c r="E47" t="n">
        <v>5</v>
      </c>
      <c r="F47" t="inlineStr">
        <is>
          <t>GT</t>
        </is>
      </c>
    </row>
    <row r="48">
      <c r="A48" s="23" t="n">
        <v>58428</v>
      </c>
      <c r="B48" t="inlineStr">
        <is>
          <t>LSU Cogen</t>
        </is>
      </c>
      <c r="C48" t="inlineStr">
        <is>
          <t>East Baton Rouge</t>
        </is>
      </c>
      <c r="D48" s="106" t="n">
        <v>19.6</v>
      </c>
      <c r="E48" t="n">
        <v>1</v>
      </c>
      <c r="F48" t="inlineStr">
        <is>
          <t>GT</t>
        </is>
      </c>
    </row>
    <row r="49">
      <c r="A49" s="23" t="n">
        <v>54512</v>
      </c>
      <c r="B49" t="inlineStr">
        <is>
          <t>Domino Sugar Arabi Plant</t>
        </is>
      </c>
      <c r="C49" t="inlineStr">
        <is>
          <t>St Bernard</t>
        </is>
      </c>
      <c r="D49" s="106" t="n">
        <v>14</v>
      </c>
      <c r="E49" t="n">
        <v>3</v>
      </c>
      <c r="F49" t="inlineStr">
        <is>
          <t>ST</t>
        </is>
      </c>
    </row>
    <row r="50">
      <c r="A50" s="23" t="n">
        <v>54927</v>
      </c>
      <c r="B50" t="inlineStr">
        <is>
          <t>Grand Isle Gas Plant / Treating Station</t>
        </is>
      </c>
      <c r="C50" t="inlineStr">
        <is>
          <t>Jefferson</t>
        </is>
      </c>
      <c r="D50" s="106" t="n">
        <v>9</v>
      </c>
      <c r="E50" t="n">
        <v>3</v>
      </c>
      <c r="F50" t="inlineStr">
        <is>
          <t>IC</t>
        </is>
      </c>
    </row>
    <row r="51">
      <c r="A51" s="23" t="n">
        <v>50389</v>
      </c>
      <c r="B51" t="inlineStr">
        <is>
          <t>Port Allen (LA)</t>
        </is>
      </c>
      <c r="C51" t="inlineStr">
        <is>
          <t>West Baton Rouge</t>
        </is>
      </c>
      <c r="D51" s="106" t="n">
        <v>7.6</v>
      </c>
      <c r="E51" t="n">
        <v>2</v>
      </c>
      <c r="F51" t="inlineStr">
        <is>
          <t>GT</t>
        </is>
      </c>
    </row>
    <row r="52">
      <c r="A52" s="23" t="n">
        <v>54240</v>
      </c>
      <c r="B52" t="inlineStr">
        <is>
          <t>Louisiana Tech University Power Plant</t>
        </is>
      </c>
      <c r="C52" t="inlineStr">
        <is>
          <t>Lincoln</t>
        </is>
      </c>
      <c r="D52" s="106" t="n">
        <v>7.5</v>
      </c>
      <c r="E52" t="n">
        <v>1</v>
      </c>
      <c r="F52" t="inlineStr">
        <is>
          <t>GT</t>
        </is>
      </c>
    </row>
    <row r="53">
      <c r="A53" s="23" t="n">
        <v>10301</v>
      </c>
      <c r="B53" t="inlineStr">
        <is>
          <t>Louisiana Sugar Refining</t>
        </is>
      </c>
      <c r="C53" t="inlineStr">
        <is>
          <t>St James</t>
        </is>
      </c>
      <c r="D53" s="106" t="n">
        <v>6.7</v>
      </c>
      <c r="E53" t="n">
        <v>3</v>
      </c>
      <c r="F53" t="inlineStr">
        <is>
          <t>ST</t>
        </is>
      </c>
    </row>
    <row r="54">
      <c r="A54" s="23" t="n">
        <v>66615</v>
      </c>
      <c r="B54" t="inlineStr">
        <is>
          <t>Eunice LA Plant</t>
        </is>
      </c>
      <c r="C54" t="inlineStr">
        <is>
          <t>Acadia</t>
        </is>
      </c>
      <c r="D54" s="106" t="n">
        <v>4.7</v>
      </c>
      <c r="E54" t="n">
        <v>1</v>
      </c>
      <c r="F54" t="inlineStr">
        <is>
          <t>ST</t>
        </is>
      </c>
    </row>
    <row r="55">
      <c r="A55" s="23" t="n">
        <v>50490</v>
      </c>
      <c r="B55" t="inlineStr">
        <is>
          <t>PPG Plant C Caustic</t>
        </is>
      </c>
      <c r="C55" t="inlineStr">
        <is>
          <t>Calcasieu</t>
        </is>
      </c>
      <c r="D55" s="106" t="n">
        <v>3.4</v>
      </c>
      <c r="E55" t="n">
        <v>1</v>
      </c>
      <c r="F55" t="inlineStr">
        <is>
          <t>ST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2026-06-07T22:16:41Z</dcterms:created>
  <dcterms:modified xmlns:dcterms="http://purl.org/dc/terms/" xmlns:xsi="http://www.w3.org/2001/XMLSchema-instance" xsi:type="dcterms:W3CDTF">2026-06-08T01:56:32Z</dcterms:modified>
  <cp:lastModifiedBy>Nicolás Rodríguez Pérez</cp:lastModifiedBy>
</cp:coreProperties>
</file>